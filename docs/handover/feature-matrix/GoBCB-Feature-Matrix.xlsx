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Legend" sheetId="1" state="visible" r:id="rId3"/>
    <sheet name="Summary" sheetId="2" state="visible" r:id="rId4"/>
    <sheet name="Feature Matrix" sheetId="3" state="visible" r:id="rId5"/>
    <sheet name="Open Queries" sheetId="4" state="visible" r:id="rId6"/>
    <sheet name="Traceability" sheetId="5" state="visible" r:id="rId7"/>
    <sheet name="Gap Log" sheetId="6" state="visible" r:id="rId8"/>
    <sheet name="Review" sheetId="7" state="visible" r:id="rId9"/>
  </sheets>
  <definedNames>
    <definedName function="false" hidden="true" localSheetId="2" name="_xlnm._FilterDatabase" vbProcedure="false">'Feature Matrix'!$B$4:$R$107</definedName>
    <definedName function="false" hidden="true" localSheetId="3" name="_xlnm._FilterDatabase" vbProcedure="false">'Open Queries'!$B$4:$J$79</definedName>
    <definedName function="false" hidden="true" localSheetId="4" name="_xlnm._FilterDatabase" vbProcedure="false">Traceability!$B$4:$L$107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<sst xmlns="http://schemas.openxmlformats.org/spreadsheetml/2006/main" count="3332" uniqueCount="1295">
  <si>
    <t xml:space="preserve">GoBCB (rvl-etp) — Feature Matrix &amp; BS-23 Verification Tracker</t>
  </si>
  <si>
    <t xml:space="preserve">Generated 2026-10-23 from docs/handover/feature-docs (English). The markdown docs remain the source of truth; regenerate with scripts/generate_feature_matrix.py — review entries are preserved.</t>
  </si>
  <si>
    <t xml:space="preserve">Purpose</t>
  </si>
  <si>
    <t xml:space="preserve">One readable overview of every feature of the event &amp; ticketing platform for PM, QA, DEV, OPS and Head of Engineering, and the working document for the BS-23 verification review: confirm each feature, correct what is wrong, answer the 75 open queries, and log anything the documentation missed.</t>
  </si>
  <si>
    <t xml:space="preserve">How to use this workbook</t>
  </si>
  <si>
    <t xml:space="preserve">Role</t>
  </si>
  <si>
    <t xml:space="preserve">Where to look</t>
  </si>
  <si>
    <t xml:space="preserve">PM / HoE</t>
  </si>
  <si>
    <t xml:space="preserve">Summary sheet, then Feature Matrix filtered by Module or Area.</t>
  </si>
  <si>
    <t xml:space="preserve">QA</t>
  </si>
  <si>
    <t xml:space="preserve">Feature Matrix: 'What it does', 'Local testability', and defect-linked features (red 'Defect risk').</t>
  </si>
  <si>
    <t xml:space="preserve">DEV</t>
  </si>
  <si>
    <t xml:space="preserve">Traceability sheet (service, endpoint, state) and the 'Depends on / Affects' columns.</t>
  </si>
  <si>
    <t xml:space="preserve">OPS</t>
  </si>
  <si>
    <t xml:space="preserve">System-Initiated area, 'Deployment' open queries, Traceability 'External systems' column.</t>
  </si>
  <si>
    <t xml:space="preserve">BS-23 review session</t>
  </si>
  <si>
    <t xml:space="preserve">Feature Matrix status dropdown + comments → Open Queries responses → Gap Log.</t>
  </si>
  <si>
    <t xml:space="preserve">Evidence baseline (line numbers in the docs are valid for these commits)</t>
  </si>
  <si>
    <t xml:space="preserve">Repository</t>
  </si>
  <si>
    <t xml:space="preserve">Commit</t>
  </si>
  <si>
    <t xml:space="preserve">rvl-gobcb-backend</t>
  </si>
  <si>
    <t xml:space="preserve">430ec16d7554254ff4f6adfa21f9c0c10d3234b2</t>
  </si>
  <si>
    <t xml:space="preserve">rvl-gobcb-admin-portal</t>
  </si>
  <si>
    <t xml:space="preserve">f62d2756bd9bbd4bfaa92585ae3f999d9f4c213f</t>
  </si>
  <si>
    <t xml:space="preserve">rvl-gobcb-user-portal</t>
  </si>
  <si>
    <t xml:space="preserve">36aaf58c0dae070da9f958da09451d33e6e47c73</t>
  </si>
  <si>
    <t xml:space="preserve">rvl-gobcb-user-app</t>
  </si>
  <si>
    <t xml:space="preserve">365b8bee71454d94747b75bef7cb07e8b47b6f8a</t>
  </si>
  <si>
    <t xml:space="preserve">rvl-gobcb-checker-app</t>
  </si>
  <si>
    <t xml:space="preserve">e919c54dad40a33aecc9922a68637a4a887513e6</t>
  </si>
  <si>
    <t xml:space="preserve">Numbers from the documentation</t>
  </si>
  <si>
    <t xml:space="preserve">Metric</t>
  </si>
  <si>
    <t xml:space="preserve">Value</t>
  </si>
  <si>
    <t xml:space="preserve">Feature files</t>
  </si>
  <si>
    <t xml:space="preserve">103 (31 admin, 13 portal, 10 app, 6 checker, 17 system, 26 cross-cutting)</t>
  </si>
  <si>
    <t xml:space="preserve">Backend services</t>
  </si>
  <si>
    <t xml:space="preserve">9 real + 2 stubs</t>
  </si>
  <si>
    <t xml:space="preserve">HTTP endpoints indexed</t>
  </si>
  <si>
    <t xml:space="preserve">354 routes across 58 controllers</t>
  </si>
  <si>
    <t xml:space="preserve">Background workers</t>
  </si>
  <si>
    <t xml:space="preserve">17</t>
  </si>
  <si>
    <t xml:space="preserve">SQS queues</t>
  </si>
  <si>
    <t xml:space="preserve">6</t>
  </si>
  <si>
    <t xml:space="preserve">Open queries</t>
  </si>
  <si>
    <t xml:space="preserve">75 (Q-01 … Q-77; Q-21 and Q-24 unused)</t>
  </si>
  <si>
    <t xml:space="preserve">Findings rated "defect"</t>
  </si>
  <si>
    <t xml:space="preserve">23 — the ones to fix first</t>
  </si>
  <si>
    <t xml:space="preserve">Legend — Feature Matrix review status</t>
  </si>
  <si>
    <t xml:space="preserve">Status</t>
  </si>
  <si>
    <t xml:space="preserve">Meaning</t>
  </si>
  <si>
    <t xml:space="preserve">Not reviewed</t>
  </si>
  <si>
    <t xml:space="preserve">Default. Not yet checked with BS-23.</t>
  </si>
  <si>
    <t xml:space="preserve">Confirmed</t>
  </si>
  <si>
    <t xml:space="preserve">BS-23 confirms the documented feature is correct and complete.</t>
  </si>
  <si>
    <t xml:space="preserve">Correction needed</t>
  </si>
  <si>
    <t xml:space="preserve">BS-23 says the description is wrong — note the correction in the comments column.</t>
  </si>
  <si>
    <t xml:space="preserve">Missing detail</t>
  </si>
  <si>
    <t xml:space="preserve">Feature exists but a part of it is not documented.</t>
  </si>
  <si>
    <t xml:space="preserve">Not a feature</t>
  </si>
  <si>
    <t xml:space="preserve">Should not be tracked as a product feature (explain in comments).</t>
  </si>
  <si>
    <t xml:space="preserve">Legend — other columns</t>
  </si>
  <si>
    <t xml:space="preserve">Column</t>
  </si>
  <si>
    <t xml:space="preserve">Module</t>
  </si>
  <si>
    <t xml:space="preserve">RVL-defined functional tag for filtering (NOT part of the BS-23 docs).</t>
  </si>
  <si>
    <t xml:space="preserve">Defect risk</t>
  </si>
  <si>
    <t xml:space="preserve">Feature cites at least one open query of kind 'Defect' (code that appears wrong).</t>
  </si>
  <si>
    <t xml:space="preserve">Q-IDs this feature's doc cites as [UNCONFIRMED] — see the Open Queries sheet.</t>
  </si>
  <si>
    <t xml:space="preserve">Local testability</t>
  </si>
  <si>
    <t xml:space="preserve">From each doc's developer test guide: Full / Partial / Not locally.</t>
  </si>
  <si>
    <t xml:space="preserve">Query kinds</t>
  </si>
  <si>
    <t xml:space="preserve">External → BS23 answers · Deployment → BS23/infra · Ambiguity → BS23/business · Defect → RVL fixes.</t>
  </si>
  <si>
    <t xml:space="preserve">Summary — numbers &amp; BS-23 verification progress</t>
  </si>
  <si>
    <t xml:space="preserve">Features by area &amp; review progress (live counts from the Feature Matrix)</t>
  </si>
  <si>
    <t xml:space="preserve">Area</t>
  </si>
  <si>
    <t xml:space="preserve">Features</t>
  </si>
  <si>
    <t xml:space="preserve">With open queries</t>
  </si>
  <si>
    <t xml:space="preserve">Defect-linked</t>
  </si>
  <si>
    <t xml:space="preserve">Admin Portal</t>
  </si>
  <si>
    <t xml:space="preserve">User Web Portal</t>
  </si>
  <si>
    <t xml:space="preserve">User App</t>
  </si>
  <si>
    <t xml:space="preserve">Checker App</t>
  </si>
  <si>
    <t xml:space="preserve">System-Initiated</t>
  </si>
  <si>
    <t xml:space="preserve">Cross-Cutting</t>
  </si>
  <si>
    <t xml:space="preserve">Total</t>
  </si>
  <si>
    <t xml:space="preserve">Open queries by kind &amp; answer status (live counts from the Open Queries sheet)</t>
  </si>
  <si>
    <t xml:space="preserve">Kind</t>
  </si>
  <si>
    <t xml:space="preserve">Count</t>
  </si>
  <si>
    <t xml:space="preserve">Who answers</t>
  </si>
  <si>
    <t xml:space="preserve">Open</t>
  </si>
  <si>
    <t xml:space="preserve">Answered - accepted</t>
  </si>
  <si>
    <t xml:space="preserve">Answered - disputed</t>
  </si>
  <si>
    <t xml:space="preserve">N/A</t>
  </si>
  <si>
    <t xml:space="preserve">External</t>
  </si>
  <si>
    <t xml:space="preserve">BS23</t>
  </si>
  <si>
    <t xml:space="preserve">Deployment</t>
  </si>
  <si>
    <t xml:space="preserve">BS23 / infrastructure</t>
  </si>
  <si>
    <t xml:space="preserve">Ambiguity</t>
  </si>
  <si>
    <t xml:space="preserve">BS23 / the business</t>
  </si>
  <si>
    <t xml:space="preserve">Defect</t>
  </si>
  <si>
    <t xml:space="preserve">RVL (finding to fix)</t>
  </si>
  <si>
    <t xml:space="preserve">Local testability (from each doc's developer test guide)</t>
  </si>
  <si>
    <t xml:space="preserve">Rating</t>
  </si>
  <si>
    <t xml:space="preserve">Full</t>
  </si>
  <si>
    <t xml:space="preserve">Partial</t>
  </si>
  <si>
    <t xml:space="preserve">Not locally</t>
  </si>
  <si>
    <t xml:space="preserve">Mixed / other</t>
  </si>
  <si>
    <t xml:space="preserve">Feature Matrix — all 103 features, grouped by area</t>
  </si>
  <si>
    <t xml:space="preserve">One row per feature doc (docs/handover/feature-docs). Columns A–O are generated from the docs; columns P–Q are the BS-23 review. Module is an RVL-defined functional tag.</t>
  </si>
  <si>
    <t xml:space="preserve">ID</t>
  </si>
  <si>
    <t xml:space="preserve">Feature</t>
  </si>
  <si>
    <t xml:space="preserve">What it does</t>
  </si>
  <si>
    <t xml:space="preserve">Who starts it</t>
  </si>
  <si>
    <t xml:space="preserve">Service(s)</t>
  </si>
  <si>
    <t xml:space="preserve">Endpoints</t>
  </si>
  <si>
    <t xml:space="preserve">Primary endpoint</t>
  </si>
  <si>
    <t xml:space="preserve">Depends on</t>
  </si>
  <si>
    <t xml:space="preserve">Affects</t>
  </si>
  <si>
    <t xml:space="preserve">Doc</t>
  </si>
  <si>
    <t xml:space="preserve">BS-23 status</t>
  </si>
  <si>
    <t xml:space="preserve">BS-23 comments / corrections</t>
  </si>
  <si>
    <t xml:space="preserve">Programs &amp; Events</t>
  </si>
  <si>
    <t xml:space="preserve">A-01</t>
  </si>
  <si>
    <t xml:space="preserve">Program selection and program-scoped menu</t>
  </si>
  <si>
    <t xml:space="preserve">Pick a program (series/tournament); the portal then sends X-Program-Id and shows the program menu.</t>
  </si>
  <si>
    <t xml:space="preserve">Any signed-in staff member (admin pool; roles admin, event_manager, ticket_manager, ticket_operator, customer_support, ticket_operator (BCBPersonnel), X-15).</t>
  </si>
  <si>
    <t xml:space="preserve">Admin</t>
  </si>
  <si>
    <t xml:space="preserve">GET /admin/api/v1/program</t>
  </si>
  <si>
    <t xml:space="preserve">A-02, X-01, X-15</t>
  </si>
  <si>
    <t xml:space="preserve">A-07, A-15, A-21, A-22</t>
  </si>
  <si>
    <t xml:space="preserve">—</t>
  </si>
  <si>
    <t xml:space="preserve">feature-docs/en/10-admin-portal/A-01-program-selection.md</t>
  </si>
  <si>
    <t xml:space="preserve">A-02</t>
  </si>
  <si>
    <t xml:space="preserve">Programs</t>
  </si>
  <si>
    <t xml:space="preserve">Create, edit and delete programs (a series or tournament that groups events).</t>
  </si>
  <si>
    <t xml:space="preserve">Staff signed in to the admin portal with the roles allowed on ProgramController (admin, event_manager, ticket_manager, customer_support, ticket_operator (BCBPersonnel) can read; see §9 for who can write).</t>
  </si>
  <si>
    <t xml:space="preserve">POST /admin/api/v1/program</t>
  </si>
  <si>
    <t xml:space="preserve">X-01, X-15</t>
  </si>
  <si>
    <t xml:space="preserve">A-03, A-04, A-06, A-07, A-13, A-15, A-16, A-25</t>
  </si>
  <si>
    <t xml:space="preserve">feature-docs/en/10-admin-portal/A-02-programs.md</t>
  </si>
  <si>
    <t xml:space="preserve">A-03</t>
  </si>
  <si>
    <t xml:space="preserve">Program settings</t>
  </si>
  <si>
    <t xml:space="preserve">Per-program commercial rules: payment gateway, purchase limits, VAT/service charge, ticket prefix.</t>
  </si>
  <si>
    <t xml:space="preserve">Staff with role admin or event_manager (the controller allows only these two).</t>
  </si>
  <si>
    <t xml:space="preserve">/admin/api/v1/program-settings</t>
  </si>
  <si>
    <t xml:space="preserve">A-07, A-08, P-04, P-06, S-07, S-10</t>
  </si>
  <si>
    <t xml:space="preserve">Q-19</t>
  </si>
  <si>
    <t xml:space="preserve">feature-docs/en/10-admin-portal/A-03-program-settings.md</t>
  </si>
  <si>
    <t xml:space="preserve">A-04</t>
  </si>
  <si>
    <t xml:space="preserve">Teams</t>
  </si>
  <si>
    <t xml:space="preserve">Maintain the teams that play in a program's events.</t>
  </si>
  <si>
    <t xml:space="preserve">Staff with role admin or event_manager (TeamsController).</t>
  </si>
  <si>
    <t xml:space="preserve">/admin/api/v1/teams</t>
  </si>
  <si>
    <t xml:space="preserve">A-07, P-02, U-02</t>
  </si>
  <si>
    <t xml:space="preserve">Q-20</t>
  </si>
  <si>
    <t xml:space="preserve">feature-docs/en/10-admin-portal/A-04-teams.md</t>
  </si>
  <si>
    <t xml:space="preserve">Venues &amp; Seating</t>
  </si>
  <si>
    <t xml:space="preserve">A-05</t>
  </si>
  <si>
    <t xml:space="preserve">Venues and stadium layout</t>
  </si>
  <si>
    <t xml:space="preserve">Define a venue: SVG map, gallery → block → level hierarchy, entry gates and mini gates.</t>
  </si>
  <si>
    <t xml:space="preserve">Staff with role admin or event_manager (VenuesController).</t>
  </si>
  <si>
    <t xml:space="preserve">/admin/api/v1/venues</t>
  </si>
  <si>
    <t xml:space="preserve">X-15</t>
  </si>
  <si>
    <t xml:space="preserve">A-06, A-07, A-09, A-10, A-11, A-18, P-04, S-07</t>
  </si>
  <si>
    <t xml:space="preserve">feature-docs/en/10-admin-portal/A-05-venues.md</t>
  </si>
  <si>
    <t xml:space="preserve">A-06</t>
  </si>
  <si>
    <t xml:space="preserve">Program–venue mapping and venue details</t>
  </si>
  <si>
    <t xml:space="preserve">Attach venues to a program and generate/sync the per-program venue details (price, capacity, currency per level).</t>
  </si>
  <si>
    <t xml:space="preserve">Staff with role admin or event_manager (ProgramVenueController, ProgramVenueDetailsController).</t>
  </si>
  <si>
    <t xml:space="preserve">/admin/api/v1/programVenueDetails</t>
  </si>
  <si>
    <t xml:space="preserve">A-02, A-05</t>
  </si>
  <si>
    <t xml:space="preserve">A-07, A-09, A-13</t>
  </si>
  <si>
    <t xml:space="preserve">feature-docs/en/10-admin-portal/A-06-program-venue-mapping.md</t>
  </si>
  <si>
    <t xml:space="preserve">A-07</t>
  </si>
  <si>
    <t xml:space="preserve">Events (matches)</t>
  </si>
  <si>
    <t xml:space="preserve">Create, edit, segment, publish/unpublish, duplicate and enable/disable events.</t>
  </si>
  <si>
    <t xml:space="preserve">Staff with roles admin, event_manager, ticket_manager, ticket_operator (BCBPersonnel) (class attribute of EventsController; [AuthorizeProgram] is commented out).</t>
  </si>
  <si>
    <t xml:space="preserve">/admin/api/v1/events</t>
  </si>
  <si>
    <t xml:space="preserve">A-02, A-03, A-04, A-05, A-06, A-13</t>
  </si>
  <si>
    <t xml:space="preserve">A-08, A-12, P-02, P-04, P-06, S-07</t>
  </si>
  <si>
    <t xml:space="preserve">feature-docs/en/10-admin-portal/A-07-events.md</t>
  </si>
  <si>
    <t xml:space="preserve">A-08</t>
  </si>
  <si>
    <t xml:space="preserve">Event settings override</t>
  </si>
  <si>
    <t xml:space="preserve">Override program settings for a single event.</t>
  </si>
  <si>
    <t xml:space="preserve">Staff who can open the event details page (/events/event-details/:id), tab Event Settings.</t>
  </si>
  <si>
    <t xml:space="preserve">/admin/api/v1/event-settings</t>
  </si>
  <si>
    <t xml:space="preserve">A-03, A-07</t>
  </si>
  <si>
    <t xml:space="preserve">P-06, S-07, S-10</t>
  </si>
  <si>
    <t xml:space="preserve">feature-docs/en/10-admin-portal/A-08-event-settings.md</t>
  </si>
  <si>
    <t xml:space="preserve">Pricing &amp; Promotions</t>
  </si>
  <si>
    <t xml:space="preserve">A-09</t>
  </si>
  <si>
    <t xml:space="preserve">Event venue details and per-level pricing</t>
  </si>
  <si>
    <t xml:space="preserve">View an event's venue tree and change the price of a level.</t>
  </si>
  <si>
    <t xml:space="preserve">Staff with roles admin, event_manager, ticket_manager, ticket_operator (BCBPersonnel) (EventsVenueDetailsController).</t>
  </si>
  <si>
    <t xml:space="preserve">/admin/api/v1/eventsVenueDetails</t>
  </si>
  <si>
    <t xml:space="preserve">A-06, A-07</t>
  </si>
  <si>
    <t xml:space="preserve">A-22, P-04, P-06, S-10</t>
  </si>
  <si>
    <t xml:space="preserve">feature-docs/en/10-admin-portal/A-09-event-level-pricing.md</t>
  </si>
  <si>
    <t xml:space="preserve">A-10</t>
  </si>
  <si>
    <t xml:space="preserve">Event capacity adjustment</t>
  </si>
  <si>
    <t xml:space="preserve">Increase or decrease the sellable capacity of a level for an event.</t>
  </si>
  <si>
    <t xml:space="preserve">Staff on the event's Gallery Update tab (/events/event-details/:id), columns "Remaining Allocated" and "De-allocated".</t>
  </si>
  <si>
    <t xml:space="preserve">Booking</t>
  </si>
  <si>
    <t xml:space="preserve">/booking/api/v1/event-capacity-adjustment</t>
  </si>
  <si>
    <t xml:space="preserve">A-07, A-09</t>
  </si>
  <si>
    <t xml:space="preserve">A-11, A-21, P-04, S-01, S-02</t>
  </si>
  <si>
    <t xml:space="preserve">feature-docs/en/10-admin-portal/A-10-capacity-adjustment.md</t>
  </si>
  <si>
    <t xml:space="preserve">Ticketing</t>
  </si>
  <si>
    <t xml:space="preserve">A-11</t>
  </si>
  <si>
    <t xml:space="preserve">Seat reservation (complimentary / partner)</t>
  </si>
  <si>
    <t xml:space="preserve">Hold seats outside online sale for complimentary or partner use.</t>
  </si>
  <si>
    <t xml:space="preserve">Staff on the event's Gallery Update tab (/events/event-details/:id, columns "Remaining Reserved" and "Released") and the Generate Tickets menu (/events/event-ticket, /events/generate-ticket/:id).</t>
  </si>
  <si>
    <t xml:space="preserve">/booking/api/v1/seat-reservation</t>
  </si>
  <si>
    <t xml:space="preserve">A-12, P-04, S-01, S-09</t>
  </si>
  <si>
    <t xml:space="preserve">Q-22</t>
  </si>
  <si>
    <t xml:space="preserve">feature-docs/en/10-admin-portal/A-11-seat-reservation.md</t>
  </si>
  <si>
    <t xml:space="preserve">A-12</t>
  </si>
  <si>
    <t xml:space="preserve">Reserved ticket generation and distribution</t>
  </si>
  <si>
    <t xml:space="preserve">Generate, sign, merge/zip, download and email the tickets of a reservation ("Generate Tickets" menu).</t>
  </si>
  <si>
    <t xml:space="preserve">Staff with the admin policy (Ticketing [Authorize(Policy = Admin)] on every endpoint here).</t>
  </si>
  <si>
    <t xml:space="preserve">Booking, Ticketing</t>
  </si>
  <si>
    <t xml:space="preserve">A-11, A-13, X-20</t>
  </si>
  <si>
    <t xml:space="preserve">C-02, S-08, S-09, X-21</t>
  </si>
  <si>
    <t xml:space="preserve">feature-docs/en/10-admin-portal/A-12-reserved-tickets.md</t>
  </si>
  <si>
    <t xml:space="preserve">A-13</t>
  </si>
  <si>
    <t xml:space="preserve">Ticket layouts and ticket attributes</t>
  </si>
  <si>
    <t xml:space="preserve">Upload and publish the PDF templates used to print tickets, and the attributes printed on them.</t>
  </si>
  <si>
    <t xml:space="preserve">Staff with roles admin, event_manager, ticket_manager, ticket_operator (BCBPersonnel) (TicketLayoutConfigsController, TicketAttributesController).</t>
  </si>
  <si>
    <t xml:space="preserve">/admin/api/v1/ticket-layout</t>
  </si>
  <si>
    <t xml:space="preserve">A-02, A-05, A-06</t>
  </si>
  <si>
    <t xml:space="preserve">A-07, A-12, S-07, S-08</t>
  </si>
  <si>
    <t xml:space="preserve">Q-23</t>
  </si>
  <si>
    <t xml:space="preserve">feature-docs/en/10-admin-portal/A-13-ticket-layouts.md</t>
  </si>
  <si>
    <t xml:space="preserve">Content &amp; CMS</t>
  </si>
  <si>
    <t xml:space="preserve">A-14</t>
  </si>
  <si>
    <t xml:space="preserve">Ticket-pricing content page</t>
  </si>
  <si>
    <t xml:space="preserve">Maintain the public ticket-pricing information page.</t>
  </si>
  <si>
    <t xml:space="preserve">Staff who can open Site Settings → Content Editor (global menu, /content-editor/ticket-pricing).</t>
  </si>
  <si>
    <t xml:space="preserve">POST /admin/api/v1/ticket-pricing</t>
  </si>
  <si>
    <t xml:space="preserve">nothing.</t>
  </si>
  <si>
    <t xml:space="preserve">P-03, U-03</t>
  </si>
  <si>
    <t xml:space="preserve">feature-docs/en/10-admin-portal/A-14-ticket-pricing-content.md</t>
  </si>
  <si>
    <t xml:space="preserve">A-15</t>
  </si>
  <si>
    <t xml:space="preserve">Promo codes</t>
  </si>
  <si>
    <t xml:space="preserve">Create promo codes with value, limits, validity and program/event/gallery assignment.</t>
  </si>
  <si>
    <t xml:space="preserve">Staff with role admin (PromoCodeController allows only Admin).</t>
  </si>
  <si>
    <t xml:space="preserve">/admin/api/v1/promo-codes</t>
  </si>
  <si>
    <t xml:space="preserve">A-02, A-07</t>
  </si>
  <si>
    <t xml:space="preserve">A-22, P-05, P-06</t>
  </si>
  <si>
    <t xml:space="preserve">Q-25</t>
  </si>
  <si>
    <t xml:space="preserve">feature-docs/en/10-admin-portal/A-15-promo-codes.md</t>
  </si>
  <si>
    <t xml:space="preserve">A-16</t>
  </si>
  <si>
    <t xml:space="preserve">System discounts</t>
  </si>
  <si>
    <t xml:space="preserve">Automatic discounts (e.g. early bird) applied without a code.</t>
  </si>
  <si>
    <t xml:space="preserve">Staff with role admin (DiscountController allows Admin; one read endpoint is anonymous).</t>
  </si>
  <si>
    <t xml:space="preserve">/admin/api/v1/discount</t>
  </si>
  <si>
    <t xml:space="preserve">feature-docs/en/10-admin-portal/A-16-discounts.md</t>
  </si>
  <si>
    <t xml:space="preserve">Gate Operations &amp; Checking</t>
  </si>
  <si>
    <t xml:space="preserve">A-17</t>
  </si>
  <si>
    <t xml:space="preserve">Ticket-checker (gate staff) accounts</t>
  </si>
  <si>
    <t xml:space="preserve">Create and manage the TicketChecker-pool accounts used by gate staff.</t>
  </si>
  <si>
    <t xml:space="preserve">Staff in the global menu (Users → Ticket Checkers, /ticket-checker, LimitedMenuGuard: program must be 0).</t>
  </si>
  <si>
    <t xml:space="preserve">/admin/api/v1/ticket-checker</t>
  </si>
  <si>
    <t xml:space="preserve">X-05, X-15</t>
  </si>
  <si>
    <t xml:space="preserve">A-18, C-01, X-12</t>
  </si>
  <si>
    <t xml:space="preserve">Q-26</t>
  </si>
  <si>
    <t xml:space="preserve">feature-docs/en/10-admin-portal/A-17-ticket-checker-users.md</t>
  </si>
  <si>
    <t xml:space="preserve">A-18</t>
  </si>
  <si>
    <t xml:space="preserve">Gate assignment and download control</t>
  </si>
  <si>
    <t xml:space="preserve">Assign checkers to an event's gates, force-assign/unassign, reset the ticket-download status.</t>
  </si>
  <si>
    <t xml:space="preserve">Staff on the event's Ticket Checker Assign tab (/events/event-details/:id, component event-ticket-checker-gate) and on the Ticket Checkers list (/ticket-checker, per checker).</t>
  </si>
  <si>
    <t xml:space="preserve">/admin/api/v1/ticket-checker-gate</t>
  </si>
  <si>
    <t xml:space="preserve">A-05, A-07, A-17</t>
  </si>
  <si>
    <t xml:space="preserve">A-19, C-01, C-02, C-05, S-14</t>
  </si>
  <si>
    <t xml:space="preserve">Q-27</t>
  </si>
  <si>
    <t xml:space="preserve">Full for the admin side</t>
  </si>
  <si>
    <t xml:space="preserve">feature-docs/en/10-admin-portal/A-18-gate-assignment.md</t>
  </si>
  <si>
    <t xml:space="preserve">A-19</t>
  </si>
  <si>
    <t xml:space="preserve">Gate (ticket-checker) reports</t>
  </si>
  <si>
    <t xml:space="preserve">Detailed scan report, duplicate-entry and manual-entry reports, export.</t>
  </si>
  <si>
    <t xml:space="preserve">Staff under program menu Reports → Ticket Checker (/report/checker Detailed Checker, /report/ticket-duplicate Duplicate Entry Count).</t>
  </si>
  <si>
    <t xml:space="preserve">Admin, Booking</t>
  </si>
  <si>
    <t xml:space="preserve">/booking/api/v1/report</t>
  </si>
  <si>
    <t xml:space="preserve">A-18, C-05, S-14</t>
  </si>
  <si>
    <t xml:space="preserve">A-22</t>
  </si>
  <si>
    <t xml:space="preserve">Q-28</t>
  </si>
  <si>
    <t xml:space="preserve">feature-docs/en/10-admin-portal/A-19-gate-reports.md</t>
  </si>
  <si>
    <t xml:space="preserve">A-20</t>
  </si>
  <si>
    <t xml:space="preserve">Raffle draw</t>
  </si>
  <si>
    <t xml:space="preserve">Record raffle winners from valid ticket numbers of an event.</t>
  </si>
  <si>
    <t xml:space="preserve">Staff on the event's Raffle Draw Winners tab (/events/event-details/:id, component raffle-draw).</t>
  </si>
  <si>
    <t xml:space="preserve">/admin/api/v1/raffle-draw</t>
  </si>
  <si>
    <t xml:space="preserve">A-07, S-08</t>
  </si>
  <si>
    <t xml:space="preserve">nothing downstream.</t>
  </si>
  <si>
    <t xml:space="preserve">Q-29</t>
  </si>
  <si>
    <t xml:space="preserve">feature-docs/en/10-admin-portal/A-20-raffle-draw.md</t>
  </si>
  <si>
    <t xml:space="preserve">Reporting &amp; Reconciliation</t>
  </si>
  <si>
    <t xml:space="preserve">A-21</t>
  </si>
  <si>
    <t xml:space="preserve">Dashboard</t>
  </si>
  <si>
    <t xml:space="preserve">Program dashboard tiles and charts (sales, upcoming events).</t>
  </si>
  <si>
    <t xml:space="preserve">Staff with roles admin or ticket_operator (BCBPersonnel) (the Admin dashboard controller requires them; other roles are sent to other landing pages, A-01).</t>
  </si>
  <si>
    <t xml:space="preserve">/admin/api/v1/dashboard, /booking/api/v1/dashboard</t>
  </si>
  <si>
    <t xml:space="preserve">A-01, A-07, A-24, P-06</t>
  </si>
  <si>
    <t xml:space="preserve">feature-docs/en/10-admin-portal/A-21-dashboard.md</t>
  </si>
  <si>
    <t xml:space="preserve">Booking, sales, revenue and payment-discrepancy reports</t>
  </si>
  <si>
    <t xml:space="preserve">The Reports menu: booking orders, event-wise/summary sales, revenue, payment discrepancy.</t>
  </si>
  <si>
    <t xml:space="preserve">Staff with a program selected (/report/*, routes guarded by AuthGuard).</t>
  </si>
  <si>
    <t xml:space="preserve">A-09, P-06, S-05</t>
  </si>
  <si>
    <t xml:space="preserve">A-23, S-10</t>
  </si>
  <si>
    <t xml:space="preserve">Q-30</t>
  </si>
  <si>
    <t xml:space="preserve">feature-docs/en/10-admin-portal/A-22-reports.md</t>
  </si>
  <si>
    <t xml:space="preserve">A-23</t>
  </si>
  <si>
    <t xml:space="preserve">Reconciliation lookup</t>
  </si>
  <si>
    <t xml:space="preserve">Find an order by order number, transaction id, phone etc. to resolve customer complaints.</t>
  </si>
  <si>
    <t xml:space="preserve">Staff with the admin policy (admin, customer_support and others who see the Issues menu, X-17); a program must be selected (/issues/reconciliation).</t>
  </si>
  <si>
    <t xml:space="preserve">GET /booking/api/v1/user-booking-order/admin/reconciliation/…</t>
  </si>
  <si>
    <t xml:space="preserve">A-22, P-06</t>
  </si>
  <si>
    <t xml:space="preserve">support decisions; no data change.</t>
  </si>
  <si>
    <t xml:space="preserve">Q-31</t>
  </si>
  <si>
    <t xml:space="preserve">feature-docs/en/10-admin-portal/A-23-reconciliation.md</t>
  </si>
  <si>
    <t xml:space="preserve">Support &amp; Issues</t>
  </si>
  <si>
    <t xml:space="preserve">A-24</t>
  </si>
  <si>
    <t xml:space="preserve">User issues and support chat (admin side)</t>
  </si>
  <si>
    <t xml:space="preserve">List, update and answer customer issues, with real-time chat.</t>
  </si>
  <si>
    <t xml:space="preserve">Staff with role customer_support or admin (Issues menu with a program selected, /issues/list, /issues/:id/details; the server admin policy admits any admin-pool user).</t>
  </si>
  <si>
    <t xml:space="preserve">Admin, UserIssue</t>
  </si>
  <si>
    <t xml:space="preserve">/userissue/api/v1/user-issue, /admin/api/v1/user-issue</t>
  </si>
  <si>
    <t xml:space="preserve">P-06, P-12, U-08</t>
  </si>
  <si>
    <t xml:space="preserve">A-21, A-23</t>
  </si>
  <si>
    <t xml:space="preserve">feature-docs/en/10-admin-portal/A-24-user-issues-admin.md</t>
  </si>
  <si>
    <t xml:space="preserve">Users &amp; Accounts</t>
  </si>
  <si>
    <t xml:space="preserve">A-25</t>
  </si>
  <si>
    <t xml:space="preserve">Admin users</t>
  </si>
  <si>
    <t xml:space="preserve">Create, edit, disable/enable, delete admin accounts with role and programs.</t>
  </si>
  <si>
    <t xml:space="preserve">Staff with role admin only (AdminUsersController has [Authorize(Roles = Admin)]; the two password-reset endpoints are anonymous, X-02).</t>
  </si>
  <si>
    <t xml:space="preserve">/admin/api/v1/admin-users</t>
  </si>
  <si>
    <t xml:space="preserve">X-01, X-05</t>
  </si>
  <si>
    <t xml:space="preserve">A-01, A-27, X-15</t>
  </si>
  <si>
    <t xml:space="preserve">Q-32</t>
  </si>
  <si>
    <t xml:space="preserve">feature-docs/en/10-admin-portal/A-25-admin-users.md</t>
  </si>
  <si>
    <t xml:space="preserve">A-26</t>
  </si>
  <si>
    <t xml:space="preserve">Agent (seller) users</t>
  </si>
  <si>
    <t xml:space="preserve">Manage the Agent-pool accounts of offline seller agents.</t>
  </si>
  <si>
    <t xml:space="preserve">Staff in the global menu (Users → Seller Agents, /agent-user, program 0).</t>
  </si>
  <si>
    <t xml:space="preserve">/admin/api/v1/agent-users</t>
  </si>
  <si>
    <t xml:space="preserve">X-05</t>
  </si>
  <si>
    <t xml:space="preserve">X-13</t>
  </si>
  <si>
    <t xml:space="preserve">Q-07</t>
  </si>
  <si>
    <t xml:space="preserve">feature-docs/en/10-admin-portal/A-26-agent-users.md</t>
  </si>
  <si>
    <t xml:space="preserve">Auth &amp; Security</t>
  </si>
  <si>
    <t xml:space="preserve">A-27</t>
  </si>
  <si>
    <t xml:space="preserve">Activity log viewer</t>
  </si>
  <si>
    <t xml:space="preserve">Browse the audit trail of changes made through the services.</t>
  </si>
  <si>
    <t xml:space="preserve">- Global log: /activity-log (global menu, AuthGuard; the menu shows it in the admin's global menu).</t>
  </si>
  <si>
    <t xml:space="preserve">/admin/api/v1/activity-log</t>
  </si>
  <si>
    <t xml:space="preserve">X-24</t>
  </si>
  <si>
    <t xml:space="preserve">feature-docs/en/10-admin-portal/A-27-activity-log.md</t>
  </si>
  <si>
    <t xml:space="preserve">A-28</t>
  </si>
  <si>
    <t xml:space="preserve">Media configuration (banners, gallery, contact, registration)</t>
  </si>
  <si>
    <t xml:space="preserve">Manage the images and blocks shown on the public portal and app.</t>
  </si>
  <si>
    <t xml:space="preserve">Staff who can open Site Settings → Media Configuration (global menu, /media-configuration; no route guard beyond sign-in).</t>
  </si>
  <si>
    <t xml:space="preserve">/admin/api/v1/landing-page-image</t>
  </si>
  <si>
    <t xml:space="preserve">X-01</t>
  </si>
  <si>
    <t xml:space="preserve">P-01, P-03, U-02</t>
  </si>
  <si>
    <t xml:space="preserve">feature-docs/en/10-admin-portal/A-28-media-configuration.md</t>
  </si>
  <si>
    <t xml:space="preserve">A-29</t>
  </si>
  <si>
    <t xml:space="preserve">Content editor (T&amp;C, FAQ, privacy, notice)</t>
  </si>
  <si>
    <t xml:space="preserve">Edit the static content pages shown to customers.</t>
  </si>
  <si>
    <t xml:space="preserve">Staff who can open Site Settings → Content Editor (global menu, /content-editor, tabs terms-conditions (default), faq, privacy-policy, ticket-pricing, notice).</t>
  </si>
  <si>
    <t xml:space="preserve">Redis-published content (no endpoint)</t>
  </si>
  <si>
    <t xml:space="preserve">Q-33, Q-35</t>
  </si>
  <si>
    <t xml:space="preserve">Yes (1)</t>
  </si>
  <si>
    <t xml:space="preserve">feature-docs/en/10-admin-portal/A-29-content-editor.md</t>
  </si>
  <si>
    <t xml:space="preserve">A-30</t>
  </si>
  <si>
    <t xml:space="preserve">Header/footer and social-media settings</t>
  </si>
  <si>
    <t xml:space="preserve">Edit the public header/footer and the social-media links.</t>
  </si>
  <si>
    <t xml:space="preserve">- Header/footer: staff in Site Settings → Media Configuration (page section HeaderFooterComponent).</t>
  </si>
  <si>
    <t xml:space="preserve">/admin/api/v1/header-footer</t>
  </si>
  <si>
    <t xml:space="preserve">P-01, U-02</t>
  </si>
  <si>
    <t xml:space="preserve">Q-34</t>
  </si>
  <si>
    <t xml:space="preserve">feature-docs/en/10-admin-portal/A-30-header-footer-social.md</t>
  </si>
  <si>
    <t xml:space="preserve">A-31</t>
  </si>
  <si>
    <t xml:space="preserve">General notices</t>
  </si>
  <si>
    <t xml:space="preserve">Publish notices that the public portal shows.</t>
  </si>
  <si>
    <t xml:space="preserve">Staff on /settings/notice (the program-settings module; not linked from any menu, reachable only by URL).</t>
  </si>
  <si>
    <t xml:space="preserve">/admin/api/v1/general-notice</t>
  </si>
  <si>
    <t xml:space="preserve">P-03</t>
  </si>
  <si>
    <t xml:space="preserve">feature-docs/en/10-admin-portal/A-31-general-notices.md</t>
  </si>
  <si>
    <t xml:space="preserve">P-01</t>
  </si>
  <si>
    <t xml:space="preserve">Home page content</t>
  </si>
  <si>
    <t xml:space="preserve">Banners, header/footer, notices and program list on the landing page.</t>
  </si>
  <si>
    <t xml:space="preserve">Any visitor, no sign-in (the home route has no guard).</t>
  </si>
  <si>
    <t xml:space="preserve">Event, Admin</t>
  </si>
  <si>
    <t xml:space="preserve">GET /event/api/v1/landing-page-image/public</t>
  </si>
  <si>
    <t xml:space="preserve">A-28, A-29, A-30</t>
  </si>
  <si>
    <t xml:space="preserve">P-02, P-03</t>
  </si>
  <si>
    <t xml:space="preserve">Q-04, Q-34, Q-35</t>
  </si>
  <si>
    <t xml:space="preserve">feature-docs/en/20-user-portal/P-01-home-content.md</t>
  </si>
  <si>
    <t xml:space="preserve">P-02</t>
  </si>
  <si>
    <t xml:space="preserve">Browse events and event details</t>
  </si>
  <si>
    <t xml:space="preserve">Event lists and the event detail page.</t>
  </si>
  <si>
    <t xml:space="preserve">Any visitor for browsing (no sign-in). Pressing Buy tickets needs a signed-in customer with a completed profile.</t>
  </si>
  <si>
    <t xml:space="preserve">Event</t>
  </si>
  <si>
    <t xml:space="preserve">GET /event/api/v1/events/list</t>
  </si>
  <si>
    <t xml:space="preserve">A-07, A-09, S-02</t>
  </si>
  <si>
    <t xml:space="preserve">P-04</t>
  </si>
  <si>
    <t xml:space="preserve">Q-36</t>
  </si>
  <si>
    <t xml:space="preserve">feature-docs/en/20-user-portal/P-02-browse-events.md</t>
  </si>
  <si>
    <t xml:space="preserve">Information pages (pricing, gallery, contact, policies)</t>
  </si>
  <si>
    <t xml:space="preserve">Ticket-pricing, gallery, contact, terms, privacy, FAQ and ICC code pages.</t>
  </si>
  <si>
    <t xml:space="preserve">Any visitor, no sign-in. Routes (all under /{lang}/): ticket-pricing, gallery, faq, terms, policy, contact, message-sent, icc-anti-racism-code, icc-anti-discrimination-code (event-routing.</t>
  </si>
  <si>
    <t xml:space="preserve">GET /event/api/v1/ticket-pricing/program-pricing</t>
  </si>
  <si>
    <t xml:space="preserve">A-09, A-28, A-29, A-30, P-01</t>
  </si>
  <si>
    <t xml:space="preserve">feature-docs/en/20-user-portal/P-03-info-pages.md</t>
  </si>
  <si>
    <t xml:space="preserve">Bookings &amp; Payments</t>
  </si>
  <si>
    <t xml:space="preserve">Seat selection</t>
  </si>
  <si>
    <t xml:space="preserve">Stadium map, live availability, seat/quantity choice and automatic discount.</t>
  </si>
  <si>
    <t xml:space="preserve">Signed-in customer (User pool). Route /{lang}/tickets/{eventId}/seats, protected by AuthGuard (local flag only, X-10) and by a route resolver (VenueDetailsResolverService).</t>
  </si>
  <si>
    <t xml:space="preserve">GET /booking/api/v1/capacity/level-user-portal-seats</t>
  </si>
  <si>
    <t xml:space="preserve">A-09, A-10, A-11, A-16, P-02, S-01</t>
  </si>
  <si>
    <t xml:space="preserve">P-05, P-06</t>
  </si>
  <si>
    <t xml:space="preserve">feature-docs/en/20-user-portal/P-04-seat-selection.md</t>
  </si>
  <si>
    <t xml:space="preserve">P-05</t>
  </si>
  <si>
    <t xml:space="preserve">Apply promo code</t>
  </si>
  <si>
    <t xml:space="preserve">Validate a promo code before checkout and show the discount.</t>
  </si>
  <si>
    <t xml:space="preserve">Signed-in customer on /{lang}/tickets/{eventId}/seats.</t>
  </si>
  <si>
    <t xml:space="preserve">/booking/api/v1/user-booking-order (apply step)</t>
  </si>
  <si>
    <t xml:space="preserve">A-15, P-04</t>
  </si>
  <si>
    <t xml:space="preserve">Q-18, Q-37</t>
  </si>
  <si>
    <t xml:space="preserve">feature-docs/en/20-user-portal/P-05-apply-promo-code.md</t>
  </si>
  <si>
    <t xml:space="preserve">P-06</t>
  </si>
  <si>
    <t xml:space="preserve">Booking order and online payment (DgePay)</t>
  </si>
  <si>
    <t xml:space="preserve">Create the order, lock capacity, pay through DgePay and handle the callback.</t>
  </si>
  <si>
    <t xml:space="preserve">Signed-in customer with a completed profile (the server refuses otherwise), pressing Purchase on the seats page and confirming in the payment pop-up (CompletePaymentModalComponent).</t>
  </si>
  <si>
    <t xml:space="preserve">POST /booking/api/v1/user-booking-order</t>
  </si>
  <si>
    <t xml:space="preserve">A-03, A-08, A-16, P-04, P-05, X-06</t>
  </si>
  <si>
    <t xml:space="preserve">A-22, A-23, P-07, P-08, S-01, S-05, S-07, S-10</t>
  </si>
  <si>
    <t xml:space="preserve">Q-11, Q-15, Q-37, Q-38, Q-39</t>
  </si>
  <si>
    <t xml:space="preserve">feature-docs/en/20-user-portal/P-06-booking-payment.md</t>
  </si>
  <si>
    <t xml:space="preserve">P-07</t>
  </si>
  <si>
    <t xml:space="preserve">My bookings and generation status</t>
  </si>
  <si>
    <t xml:space="preserve">List the customer's orders and poll until tickets are generated.</t>
  </si>
  <si>
    <t xml:space="preserve">Signed-in customer. Route /{lang}/tickets (AllBookingsPageComponent, AuthGuard).</t>
  </si>
  <si>
    <t xml:space="preserve">/booking/api/v1/user-booking-order (list)</t>
  </si>
  <si>
    <t xml:space="preserve">P-09, P-10, P-12</t>
  </si>
  <si>
    <t xml:space="preserve">feature-docs/en/20-user-portal/P-07-my-bookings.md</t>
  </si>
  <si>
    <t xml:space="preserve">P-08</t>
  </si>
  <si>
    <t xml:space="preserve">Ticket generation request</t>
  </si>
  <si>
    <t xml:space="preserve">Ask the platform to generate the tickets of a paid order.</t>
  </si>
  <si>
    <t xml:space="preserve">Signed-in customer on /{lang}/tickets/ticket-details/{publicId} (TicketPreviewComponent), only when the order is Paid and the event's ticketAvailabilityStartDateTime has passed (holder names and phones are filled in bef…</t>
  </si>
  <si>
    <t xml:space="preserve">PATCH /ticketing/api/v1/booking-order-ticket/generate-request/{id}</t>
  </si>
  <si>
    <t xml:space="preserve">A-07, A-13, P-06, P-09</t>
  </si>
  <si>
    <t xml:space="preserve">P-09, S-06, S-08, S-12</t>
  </si>
  <si>
    <t xml:space="preserve">Q-12, Q-40</t>
  </si>
  <si>
    <t xml:space="preserve">feature-docs/en/20-user-portal/P-08-ticket-generation-request.md</t>
  </si>
  <si>
    <t xml:space="preserve">P-09</t>
  </si>
  <si>
    <t xml:space="preserve">Ticket details, holder info, download, share, invoice</t>
  </si>
  <si>
    <t xml:space="preserve">View tickets, edit the holder, download one/all, share a link, download the invoice.</t>
  </si>
  <si>
    <t xml:space="preserve">Signed-in customer who owns the order. Routes /{lang}/tickets/ticket-details/{publicId} and /{lang}/tickets/payment-invoice/{publicId} (both BookingDetailsComponent; the invoice route only switches the view mode).</t>
  </si>
  <si>
    <t xml:space="preserve">/ticketing/api/v1/booking-order-ticket</t>
  </si>
  <si>
    <t xml:space="preserve">P-06, P-08, S-08</t>
  </si>
  <si>
    <t xml:space="preserve">C-02, P-10</t>
  </si>
  <si>
    <t xml:space="preserve">Q-41</t>
  </si>
  <si>
    <t xml:space="preserve">feature-docs/en/20-user-portal/P-09-ticket-details-downloads.md</t>
  </si>
  <si>
    <t xml:space="preserve">P-10</t>
  </si>
  <si>
    <t xml:space="preserve">Sync tickets to OneID wallet</t>
  </si>
  <si>
    <t xml:space="preserve">Push a ticket or a whole order to the customer's OneID wallet.</t>
  </si>
  <si>
    <t xml:space="preserve">Signed-in customer whose profile sso_provider is oneid, on the ticket page of a Generated order (P-09); the button shows only while not all tickets are synced.</t>
  </si>
  <si>
    <t xml:space="preserve">…/sync-order-to-oneid</t>
  </si>
  <si>
    <t xml:space="preserve">P-08, S-08, X-08</t>
  </si>
  <si>
    <t xml:space="preserve">Q-06, Q-41</t>
  </si>
  <si>
    <t xml:space="preserve">feature-docs/en/20-user-portal/P-10-oneid-ticket-sync.md</t>
  </si>
  <si>
    <t xml:space="preserve">P-11</t>
  </si>
  <si>
    <t xml:space="preserve">Profile</t>
  </si>
  <si>
    <t xml:space="preserve">View and update the customer profile.</t>
  </si>
  <si>
    <t xml:space="preserve">Customer on /en/user-profile (a :lang segment is always present, P-13).</t>
  </si>
  <si>
    <t xml:space="preserve">Identity API (external)</t>
  </si>
  <si>
    <t xml:space="preserve">GET/PUT user/my-profile</t>
  </si>
  <si>
    <t xml:space="preserve">P-13, X-06, X-07</t>
  </si>
  <si>
    <t xml:space="preserve">Q-01, Q-42, Q-43</t>
  </si>
  <si>
    <t xml:space="preserve">feature-docs/en/20-user-portal/P-11-profile.md</t>
  </si>
  <si>
    <t xml:space="preserve">P-12</t>
  </si>
  <si>
    <t xml:space="preserve">Report an issue and chat with support</t>
  </si>
  <si>
    <t xml:space="preserve">Raise an issue about an order and chat with support in real time.</t>
  </si>
  <si>
    <t xml:space="preserve">Customer on /en/issues, a route that does have AuthGuard (app-routing.module.ts:25-31).</t>
  </si>
  <si>
    <t xml:space="preserve">UserIssue</t>
  </si>
  <si>
    <t xml:space="preserve">POST /userissue/api/v1/user-issue, SignalR hub</t>
  </si>
  <si>
    <t xml:space="preserve">A-02, P-07, P-11</t>
  </si>
  <si>
    <t xml:space="preserve">Q-46, Q-47, Q-48, Q-49, Q-50</t>
  </si>
  <si>
    <t xml:space="preserve">Yes (2)</t>
  </si>
  <si>
    <t xml:space="preserve">Full for issues and REST chat; Partial…</t>
  </si>
  <si>
    <t xml:space="preserve">feature-docs/en/20-user-portal/P-12-issues-chat.md</t>
  </si>
  <si>
    <t xml:space="preserve">P-13</t>
  </si>
  <si>
    <t xml:space="preserve">Language switch (EN/BN)</t>
  </si>
  <si>
    <t xml:space="preserve">Switch the portal language through the /:lang route segment.</t>
  </si>
  <si>
    <t xml:space="preserve">Any visitor, signed in or not. Control: the flag dropdown in the toolbar, available in both the desktop and mobile layouts (layout/components/toolbar/toolbar.</t>
  </si>
  <si>
    <t xml:space="preserve">— (client only)</t>
  </si>
  <si>
    <t xml:space="preserve">nothing in the backend.</t>
  </si>
  <si>
    <t xml:space="preserve">P-01, P-02, P-03, P-04, P-07, P-11, P-12</t>
  </si>
  <si>
    <t xml:space="preserve">Q-44, Q-45</t>
  </si>
  <si>
    <t xml:space="preserve">feature-docs/en/20-user-portal/P-13-language-switch.md</t>
  </si>
  <si>
    <t xml:space="preserve">Platform &amp; Infrastructure</t>
  </si>
  <si>
    <t xml:space="preserve">U-01</t>
  </si>
  <si>
    <t xml:space="preserve">Splash, version gate and onboarding</t>
  </si>
  <si>
    <t xml:space="preserve">Start-up: env check, force-update check, onboarding, session restore.</t>
  </si>
  <si>
    <t xml:space="preserve">Every cold start. Route /splash (RoutePath.</t>
  </si>
  <si>
    <t xml:space="preserve">GET user/allowed-app-version</t>
  </si>
  <si>
    <t xml:space="preserve">X-11</t>
  </si>
  <si>
    <t xml:space="preserve">everything — every other U-xx entry starts from the session…</t>
  </si>
  <si>
    <t xml:space="preserve">Q-01, Q-51, Q-52</t>
  </si>
  <si>
    <t xml:space="preserve">feature-docs/en/30-user-app/U-01-splash-onboarding.md</t>
  </si>
  <si>
    <t xml:space="preserve">U-02</t>
  </si>
  <si>
    <t xml:space="preserve">Home and browse events</t>
  </si>
  <si>
    <t xml:space="preserve">Home content, event list and event details in the app.</t>
  </si>
  <si>
    <t xml:space="preserve">Signed-in customer. Home is only reachable from U-01 when a session exists.</t>
  </si>
  <si>
    <t xml:space="preserve">/event/api/v1/…</t>
  </si>
  <si>
    <t xml:space="preserve">A-07, A-09, A-28, U-01</t>
  </si>
  <si>
    <t xml:space="preserve">U-04, U-05</t>
  </si>
  <si>
    <t xml:space="preserve">Q-53, Q-54</t>
  </si>
  <si>
    <t xml:space="preserve">feature-docs/en/30-user-app/U-02-home-browse-events.md</t>
  </si>
  <si>
    <t xml:space="preserve">U-03</t>
  </si>
  <si>
    <t xml:space="preserve">Information pages (pricing, gallery, contact)</t>
  </si>
  <si>
    <t xml:space="preserve">Ticket pricing, gallery and contact screens.</t>
  </si>
  <si>
    <t xml:space="preserve">Signed-in customer. Routes /ticketPricing, /gallery, /contact.</t>
  </si>
  <si>
    <t xml:space="preserve">A-09, A-28, A-30, U-02</t>
  </si>
  <si>
    <t xml:space="preserve">nothing downstream — all three screens are terminal reads.</t>
  </si>
  <si>
    <t xml:space="preserve">Q-53, Q-55</t>
  </si>
  <si>
    <t xml:space="preserve">feature-docs/en/30-user-app/U-03-info-pages.md</t>
  </si>
  <si>
    <t xml:space="preserve">U-04</t>
  </si>
  <si>
    <t xml:space="preserve">Seat selection and promo code</t>
  </si>
  <si>
    <t xml:space="preserve">Choose seats/quantity, see discounts, apply a promo code.</t>
  </si>
  <si>
    <t xml:space="preserve">Signed-in customer, from the event details screen (U-02).</t>
  </si>
  <si>
    <t xml:space="preserve">Booking, Admin (discounts)</t>
  </si>
  <si>
    <t xml:space="preserve">/booking/api/v1/capacity/…, /admin/api/v1/discount/program/…</t>
  </si>
  <si>
    <t xml:space="preserve">A-10, A-15, A-16, U-02</t>
  </si>
  <si>
    <t xml:space="preserve">S-01, U-05</t>
  </si>
  <si>
    <t xml:space="preserve">Q-54, Q-56, Q-57</t>
  </si>
  <si>
    <t xml:space="preserve">feature-docs/en/30-user-app/U-04-seat-selection-promo.md</t>
  </si>
  <si>
    <t xml:space="preserve">U-05</t>
  </si>
  <si>
    <t xml:space="preserve">Booking and WebView payment</t>
  </si>
  <si>
    <t xml:space="preserve">Create the order and pay in an in-app WebView; success is detected from the URL.</t>
  </si>
  <si>
    <t xml:space="preserve">Signed-in customer completing U-04. Route /payment (RoutePath.</t>
  </si>
  <si>
    <t xml:space="preserve">POST /booking/api/v1/user-booking-order, DgePay WebView</t>
  </si>
  <si>
    <t xml:space="preserve">A-03, U-04, X-19</t>
  </si>
  <si>
    <t xml:space="preserve">S-01, S-05, U-06</t>
  </si>
  <si>
    <t xml:space="preserve">Q-57, Q-58, Q-59</t>
  </si>
  <si>
    <t xml:space="preserve">feature-docs/en/30-user-app/U-05-booking-webview-payment.md</t>
  </si>
  <si>
    <t xml:space="preserve">U-06</t>
  </si>
  <si>
    <t xml:space="preserve">My bookings and tickets</t>
  </si>
  <si>
    <t xml:space="preserve">Order list, booking details, ticket actions (holder edit, download, share, OneID sync).</t>
  </si>
  <si>
    <t xml:space="preserve">Signed-in customer. Routes /bookingList, /bookingDetails, /paymentDetails.</t>
  </si>
  <si>
    <t xml:space="preserve">/booking/api/v1/user-booking-order/…, /ticketing/api/v1/booking-order-ticket</t>
  </si>
  <si>
    <t xml:space="preserve">S-06, S-07, U-05</t>
  </si>
  <si>
    <t xml:space="preserve">C-02</t>
  </si>
  <si>
    <t xml:space="preserve">Q-54</t>
  </si>
  <si>
    <t xml:space="preserve">feature-docs/en/30-user-app/U-06-my-bookings-tickets.md</t>
  </si>
  <si>
    <t xml:space="preserve">U-07</t>
  </si>
  <si>
    <t xml:space="preserve">Profile and settings</t>
  </si>
  <si>
    <t xml:space="preserve">Profile view/update, language, logout and delete-account entry.</t>
  </si>
  <si>
    <t xml:space="preserve">Signed-in customer, from the Home drawer or profile tab.</t>
  </si>
  <si>
    <t xml:space="preserve">GET user/my-profile?user_id=…</t>
  </si>
  <si>
    <t xml:space="preserve">X-06, X-07, X-08</t>
  </si>
  <si>
    <t xml:space="preserve">U-09</t>
  </si>
  <si>
    <t xml:space="preserve">Q-01, Q-43, Q-60, Q-61</t>
  </si>
  <si>
    <t xml:space="preserve">feature-docs/en/30-user-app/U-07-profile-settings.md</t>
  </si>
  <si>
    <t xml:space="preserve">U-08</t>
  </si>
  <si>
    <t xml:space="preserve">Report an issue and support chat</t>
  </si>
  <si>
    <t xml:space="preserve">Raise issues and exchange messages with support.</t>
  </si>
  <si>
    <t xml:space="preserve">Signed-in customer. Routes /issues (list), /reportIssue (raise), /chatCommunication (thread).</t>
  </si>
  <si>
    <t xml:space="preserve">/userissue/api/v1/user-issue, SignalR + REST fallback</t>
  </si>
  <si>
    <t xml:space="preserve">U-06, U-07</t>
  </si>
  <si>
    <t xml:space="preserve">Q-46, Q-48</t>
  </si>
  <si>
    <t xml:space="preserve">feature-docs/en/30-user-app/U-08-issues-chat.md</t>
  </si>
  <si>
    <t xml:space="preserve">Notifications</t>
  </si>
  <si>
    <t xml:space="preserve">Push device-token registration</t>
  </si>
  <si>
    <t xml:space="preserve">Register/refresh the FCM token of the device with the PushNotification service.</t>
  </si>
  <si>
    <t xml:space="preserve">Any signed-in customer, once per token value.</t>
  </si>
  <si>
    <t xml:space="preserve">PushNotification</t>
  </si>
  <si>
    <t xml:space="preserve">/pushnotification/api/v1/device-token</t>
  </si>
  <si>
    <t xml:space="preserve">U-07, X-07</t>
  </si>
  <si>
    <t xml:space="preserve">S-11, S-12, S-13, U-10</t>
  </si>
  <si>
    <t xml:space="preserve">Q-62, Q-63</t>
  </si>
  <si>
    <t xml:space="preserve">feature-docs/en/30-user-app/U-09-device-token.md</t>
  </si>
  <si>
    <t xml:space="preserve">U-10</t>
  </si>
  <si>
    <t xml:space="preserve">Receiving push notifications</t>
  </si>
  <si>
    <t xml:space="preserve">How the app receives and opens push messages (event published, ticket generated).</t>
  </si>
  <si>
    <t xml:space="preserve">Any signed-in customer with a registered device token (U-09).</t>
  </si>
  <si>
    <t xml:space="preserve">— (Firebase SDK)</t>
  </si>
  <si>
    <t xml:space="preserve">— (Firebase SDK only)</t>
  </si>
  <si>
    <t xml:space="preserve">S-11, S-12, U-09</t>
  </si>
  <si>
    <t xml:space="preserve">Q-64, Q-65</t>
  </si>
  <si>
    <t xml:space="preserve">feature-docs/en/30-user-app/U-10-push-receipt.md</t>
  </si>
  <si>
    <t xml:space="preserve">C-01</t>
  </si>
  <si>
    <t xml:space="preserve">Assigned event and gate</t>
  </si>
  <si>
    <t xml:space="preserve">Load the event and gate the checker is assigned to.</t>
  </si>
  <si>
    <t xml:space="preserve">A ticket checker in the TicketChecker Cognito pool (X-12).</t>
  </si>
  <si>
    <t xml:space="preserve">GET /admin/api/v1/ticket-checker-gate/event-info</t>
  </si>
  <si>
    <t xml:space="preserve">A-17, A-18, X-12</t>
  </si>
  <si>
    <t xml:space="preserve">C-02, C-03, C-05</t>
  </si>
  <si>
    <t xml:space="preserve">Q-66, Q-67</t>
  </si>
  <si>
    <t xml:space="preserve">feature-docs/en/40-checker-app/C-01-assigned-event-gate.md</t>
  </si>
  <si>
    <t xml:space="preserve">Ticket download for offline checking</t>
  </si>
  <si>
    <t xml:space="preserve">Download the gate's valid tickets into the device database.</t>
  </si>
  <si>
    <t xml:space="preserve">A checker at C-01 with a known event and gate.</t>
  </si>
  <si>
    <t xml:space="preserve">TicketChecker</t>
  </si>
  <si>
    <t xml:space="preserve">POST /ticketChecker/api/v1/tickets/sync-tickets</t>
  </si>
  <si>
    <t xml:space="preserve">A-19, C-01</t>
  </si>
  <si>
    <t xml:space="preserve">C-03, C-04, C-05</t>
  </si>
  <si>
    <t xml:space="preserve">Q-68, Q-69, Q-70</t>
  </si>
  <si>
    <t xml:space="preserve">feature-docs/en/40-checker-app/C-02-offline-ticket-download.md</t>
  </si>
  <si>
    <t xml:space="preserve">C-03</t>
  </si>
  <si>
    <t xml:space="preserve">QR scan validation</t>
  </si>
  <si>
    <t xml:space="preserve">Scan a ticket QR, verify signature, gate and event offline, mark it used.</t>
  </si>
  <si>
    <t xml:space="preserve">A checker at the gate, route /qrPage.</t>
  </si>
  <si>
    <t xml:space="preserve">none (local crypto)</t>
  </si>
  <si>
    <t xml:space="preserve">— (Method channel certificate/methods)</t>
  </si>
  <si>
    <t xml:space="preserve">A-13, C-01, C-02, S-08</t>
  </si>
  <si>
    <t xml:space="preserve">A-19, C-05</t>
  </si>
  <si>
    <t xml:space="preserve">Q-71, Q-72, Q-73, Q-74</t>
  </si>
  <si>
    <t xml:space="preserve">Yes (3)</t>
  </si>
  <si>
    <t xml:space="preserve">Full on Android; Not locally on iOS</t>
  </si>
  <si>
    <t xml:space="preserve">feature-docs/en/40-checker-app/C-03-qr-scan-validation.md</t>
  </si>
  <si>
    <t xml:space="preserve">C-04</t>
  </si>
  <si>
    <t xml:space="preserve">Manual entry</t>
  </si>
  <si>
    <t xml:space="preserve">Admit a ticket by typing its number when the QR cannot be read.</t>
  </si>
  <si>
    <t xml:space="preserve">A checker on the QR screen (C-03), via the manual-entry icon.</t>
  </si>
  <si>
    <t xml:space="preserve">none</t>
  </si>
  <si>
    <t xml:space="preserve">C-02, C-03</t>
  </si>
  <si>
    <t xml:space="preserve">Q-68, Q-75</t>
  </si>
  <si>
    <t xml:space="preserve">feature-docs/en/40-checker-app/C-04-manual-entry.md</t>
  </si>
  <si>
    <t xml:space="preserve">C-05</t>
  </si>
  <si>
    <t xml:space="preserve">Scan sync</t>
  </si>
  <si>
    <t xml:space="preserve">Upload local scans and receive other devices' scans every 90 seconds.</t>
  </si>
  <si>
    <t xml:space="preserve">Automatic, on the QR screen (C-03). Route /qrPage.</t>
  </si>
  <si>
    <t xml:space="preserve">C-02, C-03, C-04</t>
  </si>
  <si>
    <t xml:space="preserve">A-19, S-14</t>
  </si>
  <si>
    <t xml:space="preserve">Q-76</t>
  </si>
  <si>
    <t xml:space="preserve">feature-docs/en/40-checker-app/C-05-ticket-sync.md</t>
  </si>
  <si>
    <t xml:space="preserve">C-06</t>
  </si>
  <si>
    <t xml:space="preserve">Signature-only ticket validation</t>
  </si>
  <si>
    <t xml:space="preserve">Check a QR's signature without gate/event rules or recording an entry.</t>
  </si>
  <si>
    <t xml:space="preserve">A checker or a support engineer, route /manualTicketValidation.</t>
  </si>
  <si>
    <t xml:space="preserve">— (Method channel)</t>
  </si>
  <si>
    <t xml:space="preserve">nothing — it is read-only by design.</t>
  </si>
  <si>
    <t xml:space="preserve">Q-77</t>
  </si>
  <si>
    <t xml:space="preserve">Full on Android; always fails on iOS</t>
  </si>
  <si>
    <t xml:space="preserve">feature-docs/en/40-checker-app/C-06-manual-ticket-validation.md</t>
  </si>
  <si>
    <t xml:space="preserve">S-01</t>
  </si>
  <si>
    <t xml:space="preserve">Level capacity update (OrderSuccess queue)</t>
  </si>
  <si>
    <t xml:space="preserve">Apply booked/released seats to level capacity after order events.</t>
  </si>
  <si>
    <t xml:space="preserve">- Producer (user order): Booking, when a payment is confirmed: DgePay callback HandleDgePayment, the re-check job RevaildateRecentPendingBookingsAsync (S-05), and the handler behind the anonymous GET payment-status-bypa…</t>
  </si>
  <si>
    <t xml:space="preserve">A-07, P-06</t>
  </si>
  <si>
    <t xml:space="preserve">P-04, S-02, S-04</t>
  </si>
  <si>
    <t xml:space="preserve">Q-09, Q-10</t>
  </si>
  <si>
    <t xml:space="preserve">feature-docs/en/50-system-initiated/S-01-level-capacity-update.md</t>
  </si>
  <si>
    <t xml:space="preserve">S-02</t>
  </si>
  <si>
    <t xml:space="preserve">Event live capacity (EventCapacity queue)</t>
  </si>
  <si>
    <t xml:space="preserve">Recompute an event's live capacity after capacity changes.</t>
  </si>
  <si>
    <t xml:space="preserve">Producer: Booking CapacityManager.BookLevelCapacity, on every call, for both user orders (at order creation) and admin… · Consumer: Booking service worker; no user, no token.</t>
  </si>
  <si>
    <t xml:space="preserve">A-07, S-01</t>
  </si>
  <si>
    <t xml:space="preserve">P-02, S-04</t>
  </si>
  <si>
    <t xml:space="preserve">Q-09</t>
  </si>
  <si>
    <t xml:space="preserve">feature-docs/en/50-system-initiated/S-02-event-live-capacity.md</t>
  </si>
  <si>
    <t xml:space="preserve">S-03</t>
  </si>
  <si>
    <t xml:space="preserve">Locked-capacity refresh</t>
  </si>
  <si>
    <t xml:space="preserve">Release seats locked by unpaid orders after they expire.</t>
  </si>
  <si>
    <t xml:space="preserve">- Producer of work: CapacityManager.BookLevelCapacity adds a key to the Redis set refresh when the level's live capacity is 0 after the booking step.</t>
  </si>
  <si>
    <t xml:space="preserve">Q-10</t>
  </si>
  <si>
    <t xml:space="preserve">feature-docs/en/50-system-initiated/S-03-locked-capacity-refresh.md</t>
  </si>
  <si>
    <t xml:space="preserve">S-04</t>
  </si>
  <si>
    <t xml:space="preserve">Scheduler capacity reconcile</t>
  </si>
  <si>
    <t xml:space="preserve">Periodic capacity reconciliation triggered from the Scheduler service.</t>
  </si>
  <si>
    <t xml:space="preserve">A timer in the Scheduler service (CapacityUpdateService); no user, no token.</t>
  </si>
  <si>
    <t xml:space="preserve">Scheduler</t>
  </si>
  <si>
    <t xml:space="preserve">S-01, S-02</t>
  </si>
  <si>
    <t xml:space="preserve">feature-docs/en/50-system-initiated/S-04-scheduler-capacity-update.md</t>
  </si>
  <si>
    <t xml:space="preserve">S-05</t>
  </si>
  <si>
    <t xml:space="preserve">Pending/failed payment revalidation</t>
  </si>
  <si>
    <t xml:space="preserve">Re-check unfinished payments with DgePay and update order status.</t>
  </si>
  <si>
    <t xml:space="preserve">Timer in the Scheduler (PendingOrFailedBookingStatusUpdateService); calls Booking PUT /booking/api/v1/user-booking-order/update-status without a token [HTTP, no token / internal].</t>
  </si>
  <si>
    <t xml:space="preserve">P-07, S-01, S-06</t>
  </si>
  <si>
    <t xml:space="preserve">Q-11</t>
  </si>
  <si>
    <t xml:space="preserve">feature-docs/en/50-system-initiated/S-05-pending-failed-revalidation.md</t>
  </si>
  <si>
    <t xml:space="preserve">S-06</t>
  </si>
  <si>
    <t xml:space="preserve">Booking status → Generated</t>
  </si>
  <si>
    <t xml:space="preserve">Mark orders Generated once all their tickets exist.</t>
  </si>
  <si>
    <t xml:space="preserve">Timer in the Booking service (BookingStatusUpdateService); calls Ticketing over HTTP without a token [HTTP, no token / internal].</t>
  </si>
  <si>
    <t xml:space="preserve">S-07, S-08</t>
  </si>
  <si>
    <t xml:space="preserve">P-07, S-10, S-12</t>
  </si>
  <si>
    <t xml:space="preserve">Q-06, Q-12</t>
  </si>
  <si>
    <t xml:space="preserve">feature-docs/en/50-system-initiated/S-06-booking-status-generated.md</t>
  </si>
  <si>
    <t xml:space="preserve">S-07</t>
  </si>
  <si>
    <t xml:space="preserve">Initiate user ticket generation</t>
  </si>
  <si>
    <t xml:space="preserve">Start ticket generation for paid orders that requested it.</t>
  </si>
  <si>
    <t xml:space="preserve">Timer in the Booking service (InitiateUserTicketGenerationService).</t>
  </si>
  <si>
    <t xml:space="preserve">A-08, A-13, P-06, S-05</t>
  </si>
  <si>
    <t xml:space="preserve">P-07, P-09, S-06, S-08</t>
  </si>
  <si>
    <t xml:space="preserve">Q-12</t>
  </si>
  <si>
    <t xml:space="preserve">feature-docs/en/50-system-initiated/S-07-initiate-user-ticket-generation.md</t>
  </si>
  <si>
    <t xml:space="preserve">S-08</t>
  </si>
  <si>
    <t xml:space="preserve">Ticket signing via TSP (TicketSigning queue)</t>
  </si>
  <si>
    <t xml:space="preserve">Digitally sign ticket PDFs through the TSP and store them in S3.</t>
  </si>
  <si>
    <t xml:space="preserve">- Producers: Ticketing TicketManager: user tickets (S-07 and the customer button, TicketGenerateRequest) and reserved tickets (PublishBulkTicketToSign, CreateReservationTicketsAsync; A-12).</t>
  </si>
  <si>
    <t xml:space="preserve">A-13, S-07</t>
  </si>
  <si>
    <t xml:space="preserve">C-03, P-09, S-06, S-09</t>
  </si>
  <si>
    <t xml:space="preserve">Q-09, Q-13</t>
  </si>
  <si>
    <t xml:space="preserve">Partial / not locally for the real sign…</t>
  </si>
  <si>
    <t xml:space="preserve">feature-docs/en/50-system-initiated/S-08-ticket-signing.md</t>
  </si>
  <si>
    <t xml:space="preserve">S-09</t>
  </si>
  <si>
    <t xml:space="preserve">Reserved ticket merge/zip (TicketProcessing queue)</t>
  </si>
  <si>
    <t xml:space="preserve">Merge or zip a reservation's signed tickets in the Utility service.</t>
  </si>
  <si>
    <t xml:space="preserve">Producer: an admin (admin pool) through Ticketing GET /ticketing/api/v1/booking-order-ticket/merge-reserved?reservation… · Consumer: Utility service worker; no user, no token. Utility is the only service whose main job is this worker.</t>
  </si>
  <si>
    <t xml:space="preserve">Utility</t>
  </si>
  <si>
    <t xml:space="preserve">A-11, A-12, S-08</t>
  </si>
  <si>
    <t xml:space="preserve">X-20</t>
  </si>
  <si>
    <t xml:space="preserve">Q-06, Q-09, Q-14</t>
  </si>
  <si>
    <t xml:space="preserve">feature-docs/en/50-system-initiated/S-09-ticket-merge-zip.md</t>
  </si>
  <si>
    <t xml:space="preserve">S-10</t>
  </si>
  <si>
    <t xml:space="preserve">VAT challan with NBR (VatChallanProcessing queue)</t>
  </si>
  <si>
    <t xml:space="preserve">Record VAT for paid orders and download the challan from NBR.</t>
  </si>
  <si>
    <t xml:space="preserve">Producer: Booking UserBookingOrderManager.HandleDgePayment (the DgePay callback) publishes one message when the payment… · Consumer: Booking worker; no user, no token.</t>
  </si>
  <si>
    <t xml:space="preserve">A-22, P-07</t>
  </si>
  <si>
    <t xml:space="preserve">Q-06, Q-09, Q-15</t>
  </si>
  <si>
    <t xml:space="preserve">feature-docs/en/50-system-initiated/S-10-vat-challan.md</t>
  </si>
  <si>
    <t xml:space="preserve">S-11</t>
  </si>
  <si>
    <t xml:space="preserve">Push delivery to FCM (FirebaseNotification queue)</t>
  </si>
  <si>
    <t xml:space="preserve">Deliver queued push messages through Firebase Cloud Messaging.</t>
  </si>
  <si>
    <t xml:space="preserve">Producer: PushNotification NotificationManager (after Admin calls send-to-all on event publish, A-07). · Consumer: Scheduler FirebaseNotificationService; no user, no token, no lock.</t>
  </si>
  <si>
    <t xml:space="preserve">U-09, X-23</t>
  </si>
  <si>
    <t xml:space="preserve">Partial / not locally for delivery</t>
  </si>
  <si>
    <t xml:space="preserve">feature-docs/en/50-system-initiated/S-11-firebase-notification.md</t>
  </si>
  <si>
    <t xml:space="preserve">S-12</t>
  </si>
  <si>
    <t xml:space="preserve">Ticket-generated notification</t>
  </si>
  <si>
    <t xml:space="preserve">Tell customers their tickets are ready.</t>
  </si>
  <si>
    <t xml:space="preserve">Timer in the Scheduler service (SendNotificationAfterGeneratedTicketService).</t>
  </si>
  <si>
    <t xml:space="preserve">S-06, S-08</t>
  </si>
  <si>
    <t xml:space="preserve">Q-05</t>
  </si>
  <si>
    <t xml:space="preserve">feature-docs/en/50-system-initiated/S-12-ticket-generated-notification.md</t>
  </si>
  <si>
    <t xml:space="preserve">S-13</t>
  </si>
  <si>
    <t xml:space="preserve">Device-token cleanup</t>
  </si>
  <si>
    <t xml:space="preserve">Daily removal of stale device tokens.</t>
  </si>
  <si>
    <t xml:space="preserve">Timer in the Scheduler service (DeviceTokenCleanupService); no user.</t>
  </si>
  <si>
    <t xml:space="preserve">Q-16</t>
  </si>
  <si>
    <t xml:space="preserve">feature-docs/en/50-system-initiated/S-13-device-token-cleanup.md</t>
  </si>
  <si>
    <t xml:space="preserve">S-14</t>
  </si>
  <si>
    <t xml:space="preserve">Checked-ticket sync (Redis → database)</t>
  </si>
  <si>
    <t xml:space="preserve">Persist gate scans collected in Redis to the database.</t>
  </si>
  <si>
    <t xml:space="preserve">Timer in the Admin service (CheckedTicketService); no user.</t>
  </si>
  <si>
    <t xml:space="preserve">A-18, C-05</t>
  </si>
  <si>
    <t xml:space="preserve">Q-17</t>
  </si>
  <si>
    <t xml:space="preserve">Full for the worker; the checker app ca…</t>
  </si>
  <si>
    <t xml:space="preserve">feature-docs/en/50-system-initiated/S-14-checked-ticket-sync.md</t>
  </si>
  <si>
    <t xml:space="preserve">S-15</t>
  </si>
  <si>
    <t xml:space="preserve">Gate download-status cleanup</t>
  </si>
  <si>
    <t xml:space="preserve">Reset checker download flags on a schedule.</t>
  </si>
  <si>
    <t xml:space="preserve">Timer in the Admin service (GateCheckerDownloadStatusCleanupService); no user, no HTTP calls.</t>
  </si>
  <si>
    <t xml:space="preserve">A-07, A-18</t>
  </si>
  <si>
    <t xml:space="preserve">feature-docs/en/50-system-initiated/S-15-gate-download-status-cleanup.md</t>
  </si>
  <si>
    <t xml:space="preserve">S-16</t>
  </si>
  <si>
    <t xml:space="preserve">Promo-code status update</t>
  </si>
  <si>
    <t xml:space="preserve">Activate/expire promo codes by their dates.</t>
  </si>
  <si>
    <t xml:space="preserve">Timer in the Admin service (PromoCodeStatusUpdateService); no user.</t>
  </si>
  <si>
    <t xml:space="preserve">A-15, P-06</t>
  </si>
  <si>
    <t xml:space="preserve">A-15, P-05</t>
  </si>
  <si>
    <t xml:space="preserve">Q-02, Q-18</t>
  </si>
  <si>
    <t xml:space="preserve">feature-docs/en/50-system-initiated/S-16-promo-code-status.md</t>
  </si>
  <si>
    <t xml:space="preserve">S-17</t>
  </si>
  <si>
    <t xml:space="preserve">System-discount status update</t>
  </si>
  <si>
    <t xml:space="preserve">Activate/expire system discounts by their dates.</t>
  </si>
  <si>
    <t xml:space="preserve">Timer in the Admin service (SystemDiscountStatusUpdateService); no user, no HTTP calls.</t>
  </si>
  <si>
    <t xml:space="preserve">A-22, P-06, S-10</t>
  </si>
  <si>
    <t xml:space="preserve">Q-02</t>
  </si>
  <si>
    <t xml:space="preserve">feature-docs/en/50-system-initiated/S-17-discount-status.md</t>
  </si>
  <si>
    <t xml:space="preserve">Admin login (phone OTP + password)</t>
  </si>
  <si>
    <t xml:space="preserve">Three-step admin sign-in: phone, SMS OTP, Cognito password.</t>
  </si>
  <si>
    <t xml:space="preserve">Staff member with an account in the Admin Cognito pool (created by X-05)</t>
  </si>
  <si>
    <t xml:space="preserve">Cognito + Serverless API</t>
  </si>
  <si>
    <t xml:space="preserve">A-12, X-04, X-17</t>
  </si>
  <si>
    <t xml:space="preserve">Q-03</t>
  </si>
  <si>
    <t xml:space="preserve">feature-docs/en/60-cross-cutting/X-01-admin-login.md</t>
  </si>
  <si>
    <t xml:space="preserve">X-02</t>
  </si>
  <si>
    <t xml:space="preserve">Admin forgot password</t>
  </si>
  <si>
    <t xml:space="preserve">Reset an admin password after an SMS OTP.</t>
  </si>
  <si>
    <t xml:space="preserve">Staff member with an Admin-pool account, not signed in</t>
  </si>
  <si>
    <t xml:space="preserve">Cognito + notification</t>
  </si>
  <si>
    <t xml:space="preserve">Q-04, Q-05</t>
  </si>
  <si>
    <t xml:space="preserve">feature-docs/en/60-cross-cutting/X-02-admin-forgot-password.md</t>
  </si>
  <si>
    <t xml:space="preserve">X-03</t>
  </si>
  <si>
    <t xml:space="preserve">Admin change password and logout</t>
  </si>
  <si>
    <t xml:space="preserve">Change the password in Cognito; sign out and clear local state.</t>
  </si>
  <si>
    <t xml:space="preserve">Any signed-in admin-portal user</t>
  </si>
  <si>
    <t xml:space="preserve">A-01, X-04</t>
  </si>
  <si>
    <t xml:space="preserve">feature-docs/en/60-cross-cutting/X-03-admin-change-password-logout.md</t>
  </si>
  <si>
    <t xml:space="preserve">X-04</t>
  </si>
  <si>
    <t xml:space="preserve">Admin session handling (token attach and refresh)</t>
  </si>
  <si>
    <t xml:space="preserve">How the admin portal attaches, caches and refreshes tokens.</t>
  </si>
  <si>
    <t xml:space="preserve">Any signed-in admin-portal user; triggered by every HTTP call the portal makes</t>
  </si>
  <si>
    <t xml:space="preserve">Admin, Cognito</t>
  </si>
  <si>
    <t xml:space="preserve">A-01, X-01</t>
  </si>
  <si>
    <t xml:space="preserve">every A-xx feature.</t>
  </si>
  <si>
    <t xml:space="preserve">feature-docs/en/60-cross-cutting/X-04-admin-session.md</t>
  </si>
  <si>
    <t xml:space="preserve">Staff account provisioning</t>
  </si>
  <si>
    <t xml:space="preserve">How admin, checker and agent accounts are created in Cognito by the Admin service.</t>
  </si>
  <si>
    <t xml:space="preserve">Admin-portal user in the global menu (program 0). Admin accounts: role admin. Checker accounts: admin, event_manager, ticket_manager, ticket_operator (controller roles). Agent accounts: no server-side restriction (see notes)</t>
  </si>
  <si>
    <t xml:space="preserve">A-18, X-01, X-12, X-13, X-15, X-16</t>
  </si>
  <si>
    <t xml:space="preserve">feature-docs/en/60-cross-cutting/X-05-admin-provisioning.md</t>
  </si>
  <si>
    <t xml:space="preserve">X-06</t>
  </si>
  <si>
    <t xml:space="preserve">Customer registration</t>
  </si>
  <si>
    <t xml:space="preserve">Sign-up with email and phone OTP, then password; OneID alternative.</t>
  </si>
  <si>
    <t xml:space="preserve">Anonymous visitor</t>
  </si>
  <si>
    <t xml:space="preserve">Identity API</t>
  </si>
  <si>
    <t xml:space="preserve">identity API, Cognito User pool.</t>
  </si>
  <si>
    <t xml:space="preserve">P-11, X-07, X-08</t>
  </si>
  <si>
    <t xml:space="preserve">Q-01</t>
  </si>
  <si>
    <t xml:space="preserve">feature-docs/en/60-cross-cutting/X-06-user-registration.md</t>
  </si>
  <si>
    <t xml:space="preserve">X-07</t>
  </si>
  <si>
    <t xml:space="preserve">Customer login with phone and password</t>
  </si>
  <si>
    <t xml:space="preserve">User-pool sign-in in portal and app.</t>
  </si>
  <si>
    <t xml:space="preserve">Customer with a User-pool account (X-06)</t>
  </si>
  <si>
    <t xml:space="preserve">Identity API, Cognito</t>
  </si>
  <si>
    <t xml:space="preserve">P-05, P-06, P-07</t>
  </si>
  <si>
    <t xml:space="preserve">Q-01, Q-03</t>
  </si>
  <si>
    <t xml:space="preserve">Full in the portal, Not locally in the…</t>
  </si>
  <si>
    <t xml:space="preserve">feature-docs/en/60-cross-cutting/X-07-user-password-login.md</t>
  </si>
  <si>
    <t xml:space="preserve">X-08</t>
  </si>
  <si>
    <t xml:space="preserve">OneID single sign-on</t>
  </si>
  <si>
    <t xml:space="preserve">Sign in through OneID federated by Cognito; auto-register on first login.</t>
  </si>
  <si>
    <t xml:space="preserve">Customer with a OneID account</t>
  </si>
  <si>
    <t xml:space="preserve">Identity API, OneID</t>
  </si>
  <si>
    <t xml:space="preserve">Cognito User pool with provider oneid, OneID, identity API.</t>
  </si>
  <si>
    <t xml:space="preserve">P-10, X-07</t>
  </si>
  <si>
    <t xml:space="preserve">Partial (portal only)</t>
  </si>
  <si>
    <t xml:space="preserve">feature-docs/en/60-cross-cutting/X-08-oneid-sso.md</t>
  </si>
  <si>
    <t xml:space="preserve">X-09</t>
  </si>
  <si>
    <t xml:space="preserve">Customer forgot/reset password</t>
  </si>
  <si>
    <t xml:space="preserve">OTP-based password reset through the identity API.</t>
  </si>
  <si>
    <t xml:space="preserve">Customer, not signed in</t>
  </si>
  <si>
    <t xml:space="preserve">feature-docs/en/60-cross-cutting/X-09-user-forgot-password.md</t>
  </si>
  <si>
    <t xml:space="preserve">X-10</t>
  </si>
  <si>
    <t xml:space="preserve">Customer change password, logout and token attach</t>
  </si>
  <si>
    <t xml:space="preserve">Session handling in portal and app.</t>
  </si>
  <si>
    <t xml:space="preserve">Signed-in customer</t>
  </si>
  <si>
    <t xml:space="preserve">Cognito, identity API</t>
  </si>
  <si>
    <t xml:space="preserve">X-07, X-08</t>
  </si>
  <si>
    <t xml:space="preserve">all token-protected P-xx and U-xx features.</t>
  </si>
  <si>
    <t xml:space="preserve">feature-docs/en/60-cross-cutting/X-10-user-session.md</t>
  </si>
  <si>
    <t xml:space="preserve">Delete account and app force-update</t>
  </si>
  <si>
    <t xml:space="preserve">App-only account deletion and the minimum-version gate.</t>
  </si>
  <si>
    <t xml:space="preserve">Customer (delete account, force update); gate staff (force update in the checker app)</t>
  </si>
  <si>
    <t xml:space="preserve">U-01, U-07</t>
  </si>
  <si>
    <t xml:space="preserve">feature-docs/en/60-cross-cutting/X-11-delete-account-force-update.md</t>
  </si>
  <si>
    <t xml:space="preserve">X-12</t>
  </si>
  <si>
    <t xml:space="preserve">Checker login</t>
  </si>
  <si>
    <t xml:space="preserve">TicketChecker-pool sign-in in the checker app.</t>
  </si>
  <si>
    <t xml:space="preserve">Gate staff (ticket checker)</t>
  </si>
  <si>
    <t xml:space="preserve">Cognito</t>
  </si>
  <si>
    <t xml:space="preserve">A-17, A-18, X-05</t>
  </si>
  <si>
    <t xml:space="preserve">all C-xx features.</t>
  </si>
  <si>
    <t xml:space="preserve">Not locally (sign-in), Partial (backend)</t>
  </si>
  <si>
    <t xml:space="preserve">feature-docs/en/60-cross-cutting/X-12-checker-login.md</t>
  </si>
  <si>
    <t xml:space="preserve">Agent pool and offline-sold tickets</t>
  </si>
  <si>
    <t xml:space="preserve">Agent accounts and the only Agent API.</t>
  </si>
  <si>
    <t xml:space="preserve">Seller agent (account created in the admin portal, A-26)</t>
  </si>
  <si>
    <t xml:space="preserve">Ticketing, Cognito</t>
  </si>
  <si>
    <t xml:space="preserve">A-11, A-12, A-26</t>
  </si>
  <si>
    <t xml:space="preserve">nothing that reads it back (see notes).</t>
  </si>
  <si>
    <t xml:space="preserve">feature-docs/en/60-cross-cutting/X-13-agent-pool.md</t>
  </si>
  <si>
    <t xml:space="preserve">X-14</t>
  </si>
  <si>
    <t xml:space="preserve">Authorization layer 1: pool schemes and policies</t>
  </si>
  <si>
    <t xml:space="preserve">Which Cognito pool a token must come from, per endpoint.</t>
  </si>
  <si>
    <t xml:space="preserve">Every API request with an Authorization: Bearer … header, in every service that calls AddJwtBearerAuthentication and UseAuthentication (all except Platform, PushNotification and UserAuth, where UseAuthentication/UseAuth…</t>
  </si>
  <si>
    <t xml:space="preserve">all services</t>
  </si>
  <si>
    <t xml:space="preserve">X-26</t>
  </si>
  <si>
    <t xml:space="preserve">every token-protected feature.</t>
  </si>
  <si>
    <t xml:space="preserve">feature-docs/en/60-cross-cutting/X-14-authz-pool-policies.md</t>
  </si>
  <si>
    <t xml:space="preserve">Authorization layers 2–3: staff roles</t>
  </si>
  <si>
    <t xml:space="preserve">custom:role → role claims and [Authorize(Roles=…)]; role × endpoint matrix.</t>
  </si>
  <si>
    <t xml:space="preserve">Every request with an Admin-pool token to the Admin or UserIssue service.</t>
  </si>
  <si>
    <t xml:space="preserve">X-05, X-14, X-25</t>
  </si>
  <si>
    <t xml:space="preserve">X-16</t>
  </si>
  <si>
    <t xml:space="preserve">feature-docs/en/60-cross-cutting/X-15-authz-roles.md</t>
  </si>
  <si>
    <t xml:space="preserve">Authorization layer 4: program scope</t>
  </si>
  <si>
    <t xml:space="preserve">X-Program-Id, custom:program_ids, [AuthorizeProgram] and the EF query filter.</t>
  </si>
  <si>
    <t xml:space="preserve">Admin-portal users after choosing a program (A-01)</t>
  </si>
  <si>
    <t xml:space="preserve">A-01, X-15</t>
  </si>
  <si>
    <t xml:space="preserve">feature-docs/en/60-cross-cutting/X-16-authz-program-scope.md</t>
  </si>
  <si>
    <t xml:space="preserve">X-17</t>
  </si>
  <si>
    <t xml:space="preserve">Client-side authorization (menus and guards)</t>
  </si>
  <si>
    <t xml:space="preserve">What the portals hide or block per role; not a security boundary.</t>
  </si>
  <si>
    <t xml:space="preserve">Admin-portal staff; user-portal customers</t>
  </si>
  <si>
    <t xml:space="preserve">portals</t>
  </si>
  <si>
    <t xml:space="preserve">what each role can reach in the UI for every A-xx feature.</t>
  </si>
  <si>
    <t xml:space="preserve">feature-docs/en/60-cross-cutting/X-17-authz-client-side.md</t>
  </si>
  <si>
    <t xml:space="preserve">X-18</t>
  </si>
  <si>
    <t xml:space="preserve">Endpoints without authorization</t>
  </si>
  <si>
    <t xml:space="preserve">Every endpoint reachable without a token, and why.</t>
  </si>
  <si>
    <t xml:space="preserve">Any HTTP client that can reach the service.</t>
  </si>
  <si>
    <t xml:space="preserve">several</t>
  </si>
  <si>
    <t xml:space="preserve">network exposure (architecture Q1b).</t>
  </si>
  <si>
    <t xml:space="preserve">A-08, A-10, A-11, A-14, A-21, A-22, A-26, X-02</t>
  </si>
  <si>
    <t xml:space="preserve">Q-04</t>
  </si>
  <si>
    <t xml:space="preserve">feature-docs/en/60-cross-cutting/X-18-endpoints-without-auth.md</t>
  </si>
  <si>
    <t xml:space="preserve">X-19</t>
  </si>
  <si>
    <t xml:space="preserve">Service-to-service communication</t>
  </si>
  <si>
    <t xml:space="preserve">Typed HTTP clients with token forwarding, tokenless worker calls, and SQS.</t>
  </si>
  <si>
    <t xml:space="preserve">A controller action (user request) or a background worker that needs data or work from another service or an external system.</t>
  </si>
  <si>
    <t xml:space="preserve">all</t>
  </si>
  <si>
    <t xml:space="preserve">every multi-service feature.</t>
  </si>
  <si>
    <t xml:space="preserve">feature-docs/en/60-cross-cutting/X-19-service-to-service.md</t>
  </si>
  <si>
    <t xml:space="preserve">File storage (S3, CloudFront)</t>
  </si>
  <si>
    <t xml:space="preserve">Media and ticket buckets, folder layout, signed URLs and cookies.</t>
  </si>
  <si>
    <t xml:space="preserve">- Admin portal users uploading images or ticket layouts (admin pool).</t>
  </si>
  <si>
    <t xml:space="preserve">X-01, X-26</t>
  </si>
  <si>
    <t xml:space="preserve">event, program, team, venue, ticket-layout and reserved-tic…</t>
  </si>
  <si>
    <t xml:space="preserve">Q-06</t>
  </si>
  <si>
    <t xml:space="preserve">feature-docs/en/60-cross-cutting/X-20-file-storage.md</t>
  </si>
  <si>
    <t xml:space="preserve">X-21</t>
  </si>
  <si>
    <t xml:space="preserve">Email (SES)</t>
  </si>
  <si>
    <t xml:space="preserve">Where the platform sends email.</t>
  </si>
  <si>
    <t xml:space="preserve">An admin-portal user (admin pool policy) chooses reserved tickets and clicks *Send* (A-12).</t>
  </si>
  <si>
    <t xml:space="preserve">A-12, S-08</t>
  </si>
  <si>
    <t xml:space="preserve">feature-docs/en/60-cross-cutting/X-21-email-ses.md</t>
  </si>
  <si>
    <t xml:space="preserve">X-22</t>
  </si>
  <si>
    <t xml:space="preserve">SMS and the external notification service</t>
  </si>
  <si>
    <t xml:space="preserve">SMS/OTP and notification calls to services outside the repos.</t>
  </si>
  <si>
    <t xml:space="preserve">| Message | Triggered by | Actor | |---|---|---| | SMS "account created" with user name and password | Admin creates an admin, agent or checker user (X-05) | Admin user | | SMS "password changed" with the new password |…</t>
  </si>
  <si>
    <t xml:space="preserve">external service</t>
  </si>
  <si>
    <t xml:space="preserve">S-07, S-08, X-05</t>
  </si>
  <si>
    <t xml:space="preserve">staff onboarding, customer ticket-ready message.</t>
  </si>
  <si>
    <t xml:space="preserve">Q-03, Q-05</t>
  </si>
  <si>
    <t xml:space="preserve">feature-docs/en/60-cross-cutting/X-22-sms-notification.md</t>
  </si>
  <si>
    <t xml:space="preserve">X-23</t>
  </si>
  <si>
    <t xml:space="preserve">Push notifications (PushNotification service, Firebase)</t>
  </si>
  <si>
    <t xml:space="preserve">Device tokens, send APIs, queue and FCM.</t>
  </si>
  <si>
    <t xml:space="preserve">- Register, replace, delete a token: the user app, on start-up and token refresh (U-09).</t>
  </si>
  <si>
    <t xml:space="preserve">PushNotification, Scheduler</t>
  </si>
  <si>
    <t xml:space="preserve">A-07, U-09</t>
  </si>
  <si>
    <t xml:space="preserve">Q-04, Q-08, Q-16</t>
  </si>
  <si>
    <t xml:space="preserve">feature-docs/en/60-cross-cutting/X-23-push-firebase.md</t>
  </si>
  <si>
    <t xml:space="preserve">Activity logging (audit trail)</t>
  </si>
  <si>
    <t xml:space="preserve">How entity changes are recorded across services.</t>
  </si>
  <si>
    <t xml:space="preserve">Any SaveChanges in Admin, Booking, Event, Ticketing, TicketChecker or UserIssue.</t>
  </si>
  <si>
    <t xml:space="preserve">feature-docs/en/60-cross-cutting/X-24-activity-logging.md</t>
  </si>
  <si>
    <t xml:space="preserve">X-25</t>
  </si>
  <si>
    <t xml:space="preserve">Redis: cache, live capacity and locks</t>
  </si>
  <si>
    <t xml:space="preserve">Key families, cache usage and RedLock distributed locks.</t>
  </si>
  <si>
    <t xml:space="preserve">Any request or worker in Admin, Booking, Event, Ticketing, TicketChecker, Scheduler, UserIssue and Utility.</t>
  </si>
  <si>
    <t xml:space="preserve">A-10, P-04, P-06</t>
  </si>
  <si>
    <t xml:space="preserve">feature-docs/en/60-cross-cutting/X-25-redis.md</t>
  </si>
  <si>
    <t xml:space="preserve">Configuration and secrets</t>
  </si>
  <si>
    <t xml:space="preserve">Where settings come from in AWS and locally; key reference.</t>
  </si>
  <si>
    <t xml:space="preserve">A developer starting a service locally, or CodeBuild building and deploying an environment.</t>
  </si>
  <si>
    <t xml:space="preserve">every feature.</t>
  </si>
  <si>
    <t xml:space="preserve">Q-02, Q-06</t>
  </si>
  <si>
    <t xml:space="preserve">feature-docs/en/60-cross-cutting/X-26-configuration.md</t>
  </si>
  <si>
    <t xml:space="preserve">Open Queries — 75 items for the BS-23 review</t>
  </si>
  <si>
    <t xml:space="preserve">From 99-open-queries.md. Every [UNCONFIRMED: Q-nn] marker in the docs points here. Kinds: External (BS23 answers), Deployment (BS23/infra), Ambiguity (BS23/business), Defect (RVL fixes).</t>
  </si>
  <si>
    <t xml:space="preserve">Q-ID</t>
  </si>
  <si>
    <t xml:space="preserve">Question / finding</t>
  </si>
  <si>
    <t xml:space="preserve">Why it is open (evidence)</t>
  </si>
  <si>
    <t xml:space="preserve">Cited features</t>
  </si>
  <si>
    <t xml:space="preserve">BS-23 response</t>
  </si>
  <si>
    <t xml:space="preserve">Answered by</t>
  </si>
  <si>
    <t xml:space="preserve">Date</t>
  </si>
  <si>
    <t xml:space="preserve">Where is the identity API source, who hosts it, and who owns it?</t>
  </si>
  <si>
    <t xml:space="preserve">Registration, OTP, my-profile, register-sso, allowed-app-version and delete-my-profile all go to an API that is in none of the five repositories. Locally it is http://localhost:4200/ (scripts/user-secrets.example.json). Ask BS23 for its repository, hosting and owner before go-live.</t>
  </si>
  <si>
    <t xml:space="preserve">P-11, U-01, U-07, X-06, X-07, X-08, X-09, X-11</t>
  </si>
  <si>
    <t xml:space="preserve">Is production one PostgreSQL database on schema etp, or one database per service?</t>
  </si>
  <si>
    <t xml:space="preserve">Every DbContext uses schema etp but each service has its own connection string. The architecture document says "one schema per service"; the code says one schema for all. This decides whether the cross-service table reads (S-17, X-24) can work at all.</t>
  </si>
  <si>
    <t xml:space="preserve">X-24, X-26</t>
  </si>
  <si>
    <t xml:space="preserve">Where is the Serverless / Lambda identity API source?</t>
  </si>
  <si>
    <t xml:space="preserve">Used by Admin login to look up user names and phones by id, and by the Booking flow. Not in any repository.</t>
  </si>
  <si>
    <t xml:space="preserve">X-01, X-07</t>
  </si>
  <si>
    <t xml:space="preserve">Does the ingress or WAF expose routes that the services leave unauthenticated?</t>
  </si>
  <si>
    <t xml:space="preserve">PushNotification has its authentication middleware commented out, the user-issue chat REST controller has no [Authorize], and the gateway path for the admin generate-signed-token matters. Whether these are reachable from the internet is a deployment fact. This is the single most important deployment question in the handover — see X-18.</t>
  </si>
  <si>
    <t xml:space="preserve">P-01, X-02, X-05, X-18, X-23</t>
  </si>
  <si>
    <t xml:space="preserve">Where is the external notification service source and what does it do with the payload?</t>
  </si>
  <si>
    <t xml:space="preserve">The backend posts JSON to Notification:Endpoint for every SMS. The text, the channel and the templating all live there — so the platform cannot tell you what a customer actually receives.</t>
  </si>
  <si>
    <t xml:space="preserve">S-12, X-05, X-22</t>
  </si>
  <si>
    <t xml:space="preserve">Are the dummy external integrations still dummies in production?</t>
  </si>
  <si>
    <t xml:space="preserve">OneID, TSP (ticket signing) and NBR VAT are stubbed locally to https://*.invalid. Ticket signing, the OneID ticket sync and the VAT challan therefore cannot be tested end-to-end locally, and it is not visible from the code whether the real integrations are wired in a deployed environment.</t>
  </si>
  <si>
    <t xml:space="preserve">P-10, S-06, S-09, S-10, X-20, X-21, X-26</t>
  </si>
  <si>
    <t xml:space="preserve">Is there an agent app or client for the Agent Cognito pool?</t>
  </si>
  <si>
    <t xml:space="preserve">Agent accounts, the Agent-policy endpoint POST /ticketing/api/v1/offline-sold-ticket, and the OfflineSoldTickets data all exist, but no client in the five repositories uses them and nothing reads the offline-sold tickets back. Either a client is missing from the handover, or the feature is dormant.</t>
  </si>
  <si>
    <t xml:space="preserve">A-26, X-13</t>
  </si>
  <si>
    <t xml:space="preserve">Q-08</t>
  </si>
  <si>
    <t xml:space="preserve">Should the push send methods on PushNotification be live?</t>
  </si>
  <si>
    <t xml:space="preserve">send-to-users and send-to-user exist on the service and in the Admin client but have no caller in the five repositories. The only live sender is event publish. Dead code or a missing feature — ask which.</t>
  </si>
  <si>
    <t xml:space="preserve">What is the intended retry and dead-letter policy for the SQS consumers?</t>
  </si>
  <si>
    <t xml:space="preserve">RetryCount is incremented on the deserialised copy only and the message is not re-published with it, so MAX_RETRY_COUNT = 3 is never reached and a permanently failing message is retried for ever at the queue's visibility timeout. No dead-letter handling is visible in code for any consumer.</t>
  </si>
  <si>
    <t xml:space="preserve">S-01, S-02, S-08, S-09, S-10</t>
  </si>
  <si>
    <t xml:space="preserve">Key mismatch in the payment-bypass handler. On Failed, HandleDgePaymentBypass deletes from level_locked_{EventId}_… (underscore, public event id) while everything else uses level_locked:{EventLongId}_…, so the entry is not removed and only lapses by the 12-minute rule.</t>
  </si>
  <si>
    <t xml:space="preserve">Is a paid-but-late order reconciled, or silently lost?</t>
  </si>
  <si>
    <t xml:space="preserve">CancelBookingAsync asks DgePay and discards the answer, cancelling every Pending/Failed order older than 12 minutes. A customer who paid after the 7–10 minute check window can end with money taken and an order cancelled. Whether anyone reconciles this by hand is not visible.</t>
  </si>
  <si>
    <t xml:space="preserve">P-06, S-05</t>
  </si>
  <si>
    <t xml:space="preserve">What happens to an order stuck in Requested?</t>
  </si>
  <si>
    <t xml:space="preserve">There is no timeout, no alert and no dead-letter for orders whose tickets never complete signing. Support finds them in the reconciliation screen.</t>
  </si>
  <si>
    <t xml:space="preserve">P-08, S-06, S-07</t>
  </si>
  <si>
    <t xml:space="preserve">Q-13</t>
  </si>
  <si>
    <t xml:space="preserve">How does the TSP client certificate (Cert/tspgw_client.pfx) reach the Ticketing pod?</t>
  </si>
  <si>
    <t xml:space="preserve">No project, Dockerfile or document copies it into the image. Without it the Ticketing service fails at the moment the TSP client is constructed, so this is a deployment task with a hard failure mode.</t>
  </si>
  <si>
    <t xml:space="preserve">Q-14</t>
  </si>
  <si>
    <t xml:space="preserve">Chunk index mismatch in the merge/ZIP request check. RequestMergeTicketsAsync and RequestZipTicketsAsync compute the last chunk index from the number of *reservations* of the level; UtilityService uses the number of *tickets* of this reservation. The "already generated" test therefore looks for a different file name than the worker writes.</t>
  </si>
  <si>
    <t xml:space="preserve">Q-15</t>
  </si>
  <si>
    <t xml:space="preserve">Should a late Paid callback publish a VAT challan?</t>
  </si>
  <si>
    <t xml:space="preserve">The order status is only applied within 12 minutes, but the VAT message is published for any Paid callback regardless of age — so a late callback records VAT for an order that stays Pending or is later cancelled. Only DgePay-confirmed orders publish; re-check- and bypass-marked orders do not.</t>
  </si>
  <si>
    <t xml:space="preserve">P-06, S-10</t>
  </si>
  <si>
    <t xml:space="preserve">Does the deployed Admin base URL for the Scheduler's token cleanup include the pushnotification/ prefix?</t>
  </si>
  <si>
    <t xml:space="preserve">The Scheduler sends api/v1/device-token/cleanup to Services:Admin with no prefix; only PushNotification has that endpoint. If the deployed base URL does not map to PushNotification, the daily cleanup 404s and stale tokens accumulate for ever.</t>
  </si>
  <si>
    <t xml:space="preserve">S-13, X-23</t>
  </si>
  <si>
    <t xml:space="preserve">ticketCheckerDbSync has no expiry. A pod killed mid-run leaves the flag true for ever, blocking all checker syncs until it is cleared by hand (SET ticketCheckerDbSync false).</t>
  </si>
  <si>
    <t xml:space="preserve">Q-18</t>
  </si>
  <si>
    <t xml:space="preserve">Should a promo code's IsActive / IsPublished flags gate its use?</t>
  </si>
  <si>
    <t xml:space="preserve">ValidateApplyPromoCodeAsync reads only !IsDeleted, the dates and the totals. A code staff unpublish in the admin portal still works until it is deleted or expires.</t>
  </si>
  <si>
    <t xml:space="preserve">P-05, S-16</t>
  </si>
  <si>
    <t xml:space="preserve">Is SSLCommerz in scope, and who owns its inactive callbacks?</t>
  </si>
  <si>
    <t xml:space="preserve">The program-settings form offers SSLCommerz and the enum supports it, but its callback handler is inactive while DgePay is the live path. Until this is answered, configure DgePay.</t>
  </si>
  <si>
    <t xml:space="preserve">Should deleting a team in use be blocked?</t>
  </si>
  <si>
    <t xml:space="preserve">A team already used by an event can be soft-deleted; whether event pages still show it depends on which query reads it.</t>
  </si>
  <si>
    <t xml:space="preserve">Is the bulk seat-reservation endpoint (CreateBulk, default 65 %) a real feature?</t>
  </si>
  <si>
    <t xml:space="preserve">No caller in the admin portal was found, and the percentage constant is unexplained. Keep it out of the interface until the business confirms.</t>
  </si>
  <si>
    <t xml:space="preserve">Is the layout-before-event ordering rule enforced anywhere but the UI?</t>
  </si>
  <si>
    <t xml:space="preserve">A layout cannot be unpublished or deleted once its program and venue have an event, even a draft; but an event cannot be published without a published layout per active gallery. This is a UI-level rule with no database or service constraint behind it.</t>
  </si>
  <si>
    <t xml:space="preserve">Does a soft-deleted promo code still block its text?</t>
  </si>
  <si>
    <t xml:space="preserve">ExistsAsync only checks non-deleted codes, so reusing a deleted code's text appears to be allowed. Whether that is intended is unknown.</t>
  </si>
  <si>
    <t xml:space="preserve">Should deleting a checker clear their gate assignments?</t>
  </si>
  <si>
    <t xml:space="preserve">The delete targets Cognito only; TicketCheckerGateUsers rows survive. An orphaned assignment is invisible in the admin screen but still meaningful in the data.</t>
  </si>
  <si>
    <t xml:space="preserve">Is the un-awaited Redis write loop in gate assignment a bug?</t>
  </si>
  <si>
    <t xml:space="preserve">Split(',').ToList().ForEach(async e =&gt; …) does not await the writes, so a fast follow-up request — or an exception — leaves TicketCheckerLevelGateMap incomplete and the checker-app sync cannot resolve the gate.</t>
  </si>
  <si>
    <t xml:space="preserve">What does "duplicate" mean in the gate report?</t>
  </si>
  <si>
    <t xml:space="preserve">The SQL counts rows count(...) &gt; 1 within one gate. A ticket scanned twice inside one period is one row with EntryCount 2 and is *not* a duplicate; a ticket scanned in two periods *is*. Confirm the business definition before relying on the number.</t>
  </si>
  <si>
    <t xml:space="preserve">Is the raffle-draw delete a soft or a hard delete?</t>
  </si>
  <si>
    <t xml:space="preserve">The repository method is DeleteByIdAsync; this review did not read through to see which. It matters for whether a deleted draw can be audited.</t>
  </si>
  <si>
    <t xml:space="preserve">Which time zone do the revenue reports use for day boundaries?</t>
  </si>
  <si>
    <t xml:space="preserve">startDate and endDate arrive as strings in GetUserBookingOrdersByEvent. Until this is known, month-end reconciliation can be off by a day.</t>
  </si>
  <si>
    <t xml:space="preserve">Why does the ticket-number search return an unrelated order for reserved tickets?</t>
  </si>
  <si>
    <t xml:space="preserve">The SQL joins on UBO."Id" = (select "BookingOrderId" from "Tickets" …), but reserved tickets store a reservation id there, so the match lands on an unrelated customer order with the same numeric id.</t>
  </si>
  <si>
    <t xml:space="preserve">What is the intended session lifetime for a disabled admin?</t>
  </si>
  <si>
    <t xml:space="preserve">Role changes take up to the ~2 minute cache lifetime, and a disabled account's existing token stays valid until it expires because the server validates the token and does not check Cognito status per request.</t>
  </si>
  <si>
    <t xml:space="preserve">A-25, X-14</t>
  </si>
  <si>
    <t xml:space="preserve">Q-33</t>
  </si>
  <si>
    <t xml:space="preserve">HTML is stored unsanitised and rendered unsanitised. The Admin content editor and the notices editor store whatever HTML is sent; the portal renders Terms and Privacy with bypassSecurityTrustHtml. Anyone with the content-editor role can run script in every visitor's browser.</t>
  </si>
  <si>
    <t xml:space="preserve">A-29, A-31, P-03</t>
  </si>
  <si>
    <t xml:space="preserve">Does the user app read SocialMediaSettings, or only HeaderFooters?</t>
  </si>
  <si>
    <t xml:space="preserve">The user portal reads social links only from HeaderFooters; the older SocialMediaSettings record has no reader there. The app's behaviour is stated differently, and the two cannot both be right.</t>
  </si>
  <si>
    <t xml:space="preserve">A-30, P-01</t>
  </si>
  <si>
    <t xml:space="preserve">Q-35</t>
  </si>
  <si>
    <t xml:space="preserve">Which screen is the notices strip on the user portal home page actually meant to be driven by?</t>
  </si>
  <si>
    <t xml:space="preserve">EventApiService.getAllGeneralNotices is called and the rows are filtered in memory, but the result is assigned to a notices array that the template never binds — so the Admin screen that edits GeneralNotices (A-31) has no visible effect, while the scrolling line customers see is driven by the content editor's Notice type (A-29). Two notice features exist; the business must say which one is intended. This is the most likely reason staff would report "I published a notice and nothing happened".</t>
  </si>
  <si>
    <t xml:space="preserve">A-29, A-31, P-01</t>
  </si>
  <si>
    <t xml:space="preserve">Why is the event-list filter unsafe for events without segments or a venue?</t>
  </si>
  <si>
    <t xml:space="preserve">event.segments.filter(…) and event.venue.name are called without guards, so an event missing either breaks the browse page.</t>
  </si>
  <si>
    <t xml:space="preserve">Q-37</t>
  </si>
  <si>
    <t xml:space="preserve">Is it intended that a refused purchase still holds the seats?</t>
  </si>
  <si>
    <t xml:space="preserve">CreateAsync locks the seats in Redis (12-minute lock) before validating the promo code, so a rejected code still holds inventory briefly and can show a customer a "sold out" caused by their own failed attempt.</t>
  </si>
  <si>
    <t xml:space="preserve">Q-38</t>
  </si>
  <si>
    <t xml:space="preserve">Should the order-limit checks be exact?</t>
  </si>
  <si>
    <t xml:space="preserve">order_limit_exceeded fires only when the customer already has more than AllowableMaximumOrderPerUser orders, so exactly one order over the limit is allowed; seat_limit_exceeded has a comparable off-by-one.</t>
  </si>
  <si>
    <t xml:space="preserve">Q-39</t>
  </si>
  <si>
    <t xml:space="preserve">Should machine error codes be translated for customers?</t>
  </si>
  <si>
    <t xml:space="preserve">err.error.title is shown verbatim, so codes like ticket_selling_stopped and order_limit_exceeded reach the customer as raw identifiers.</t>
  </si>
  <si>
    <t xml:space="preserve">Q-40</t>
  </si>
  <si>
    <t xml:space="preserve">Should the ticket generation writes be atomic?</t>
  </si>
  <si>
    <t xml:space="preserve">Tickets are marked Requested and messages are published before the Booking order is set to Requested; if the Booking call fails the tickets are stranded with no parent order.</t>
  </si>
  <si>
    <t xml:space="preserve">Should owner checks exist on the ticket endpoints?</t>
  </si>
  <si>
    <t xml:space="preserve">GetUserAllTicketStreamAsync, sync-order-to-oneid and the app equivalents take an order or ticket id with a valid token but no owner check, so any signed-in customer who learns an id can download another customer's tickets or trigger another customer's OneID sync. The impact is bounded — the PDF still goes to the order's own OneID account.</t>
  </si>
  <si>
    <t xml:space="preserve">P-09, P-10, U-06</t>
  </si>
  <si>
    <t xml:space="preserve">Q-42</t>
  </si>
  <si>
    <t xml:space="preserve">Does the identity API require the static API-key header on every call, and does the portal's profile PUT really send it?</t>
  </si>
  <si>
    <t xml:space="preserve">GET user/my-profile sends environment.headerkey explicitly; the PUT sends no headers object at all and relies on TokenInterceptor's substring allow-list matching /user/my-profile. It works today by coincidence of the allow-list, not by design.</t>
  </si>
  <si>
    <t xml:space="preserve">Q-43</t>
  </si>
  <si>
    <t xml:space="preserve">Can a customer correct a mistyped phone number or email anywhere?</t>
  </si>
  <si>
    <t xml:space="preserve">Both the portal and the app render name, phone and email as read-only and the PUT body has no such fields. There is no path in the product to fix a wrong phone number.</t>
  </si>
  <si>
    <t xml:space="preserve">P-11, U-07</t>
  </si>
  <si>
    <t xml:space="preserve">Q-44</t>
  </si>
  <si>
    <t xml:space="preserve">Database content is never translated. The language switch is client-side only — no request carries Accept-Language or a locale field — so only the portal chrome changes language. For a Bangla-first launch this is the largest single gap.</t>
  </si>
  <si>
    <t xml:space="preserve">Q-45</t>
  </si>
  <si>
    <t xml:space="preserve">Why do en.json and bn.json have different key counts (560 vs 587)?</t>
  </si>
  <si>
    <t xml:space="preserve">bn.json carries 27 keys the English file does not have, so a handful of English strings are untranslated. Confirm the intended source of truth before adding the 13th namespace.</t>
  </si>
  <si>
    <t xml:space="preserve">Q-46</t>
  </si>
  <si>
    <t xml:space="preserve">The issue-chat REST API is completely unauthenticated — in both copies. Neither UserIssue/ReportIssueChatController nor the legacy Admin/UserIssueChatController (same route api/v1/user-issue-chat, same eight endpoints) carries [Authorize], and senderId / senderName / senderType are client-supplied form fields — so an anonymous caller can post messages as ADMIN. Both SignalR hubs *are* authorized, so the gap is an inconsistency. This is the most serious security finding in the handover.</t>
  </si>
  <si>
    <t xml:space="preserve">ReportIssueChatController.cs:12, UserIssueChatController.cs:12</t>
  </si>
  <si>
    <t xml:space="preserve">P-12, U-08</t>
  </si>
  <si>
    <t xml:space="preserve">Q-47</t>
  </si>
  <si>
    <t xml:space="preserve">"One issue per order" is a manager check, not a database constraint. UserIssueDbContext.cs:105 has HasIndex(p =&gt; p.PublicOrderId) without IsUnique(), and the check-then-act in the manager races.</t>
  </si>
  <si>
    <t xml:space="preserve">UserIssueDbContext.cs:105</t>
  </si>
  <si>
    <t xml:space="preserve">Q-48</t>
  </si>
  <si>
    <t xml:space="preserve">Which attachment size limit is intended, 10 MB or 5 MB?</t>
  </si>
  <si>
    <t xml:space="preserve">The server accepts 10 MB (ReportIssueChatManager.cs:185-186) while the portal client restricts to 5 MB (report-issue-details.component.ts:127), so a 7 MB attachment is rejected by the browser with no way to tell it was the size. No server-side MIME allowlist was found either, while the client restricts to jpeg/png/jpg/pdf — confirm whether the limit belongs on one side only.</t>
  </si>
  <si>
    <t xml:space="preserve">Q-49</t>
  </si>
  <si>
    <t xml:space="preserve">Does the deployed gateway forward WebSocket upgrades on the portal and app chat?</t>
  </si>
  <si>
    <t xml:space="preserve">Both clients build SignalR with skipNegotiation: true, which means WebSockets only — no Server-Sent Events or long-polling fallback. If the ingress does not forward upgrades the chat cannot connect at all.</t>
  </si>
  <si>
    <t xml:space="preserve">Q-50</t>
  </si>
  <si>
    <t xml:space="preserve">Which component consumes the CloudFront signed token?</t>
  </si>
  <si>
    <t xml:space="preserve">generate-signed-token writes one global Redis key that two admins within 60 s overwrite, and nothing in the backend reads signedToken back. Whatever validates the cookie is outside this repository.</t>
  </si>
  <si>
    <t xml:space="preserve">Q-51</t>
  </si>
  <si>
    <t xml:space="preserve">The app-version check swallows its error. The call is wrapped in try/catch and discards the exception, so a customer with no network at launch passes the force-update gate silently instead of being stopped.</t>
  </si>
  <si>
    <t xml:space="preserve">splash_view_model.dart:82-84</t>
  </si>
  <si>
    <t xml:space="preserve">Q-52</t>
  </si>
  <si>
    <t xml:space="preserve">What format is the appLink value in, and is the store redirect intended?</t>
  </si>
  <si>
    <t xml:space="preserve">The force-update sheet opens appLink with url_launcher, and only when the scheme is http/https. A market:// or itms-apps:// link is silently ignored, so the customer cannot update.</t>
  </si>
  <si>
    <t xml:space="preserve">Q-53</t>
  </si>
  <si>
    <t xml:space="preserve">The gallery and the home banners call the same endpoint. landing-page-image/public is invoked from two services (event_api_service_impl.dart:36, gallery_api_service_impl.dart:13), so the two screens cannot be filtered independently.</t>
  </si>
  <si>
    <t xml:space="preserve">U-02, U-03</t>
  </si>
  <si>
    <t xml:space="preserve">The app has no polling anywhere. The seat list, the event list and the ticket-generation status are each fetched once; the endpoints support polling but there is no Timer in the app. The portal polls; the app does not, so a customer waiting for tickets must re-open the screen.</t>
  </si>
  <si>
    <t xml:space="preserve">U-02, U-04, U-06</t>
  </si>
  <si>
    <t xml:space="preserve">Q-55</t>
  </si>
  <si>
    <t xml:space="preserve">Admin HTML is rendered unfiltered in the app. flutter_html 3.0.0 with no sanitisation configuration, in booking_details/widgets/ticket_guideline.dart:56 and event_list/widgets/warning_message.dart:87. This is the app's counterpart to Q-33.</t>
  </si>
  <si>
    <t xml:space="preserve">Q-56</t>
  </si>
  <si>
    <t xml:space="preserve">Should the app refresh seats while the seat map is open?</t>
  </si>
  <si>
    <t xml:space="preserve">The app fetches a level's seats exactly once when the level is opened, with no Timer and no refresh loop, while the portal refreshes on interaction. This is the app's instance of Q-54 but is called out separately because it is the one that lets a customer act on stale availability and be refused at checkout.</t>
  </si>
  <si>
    <t xml:space="preserve">Q-57</t>
  </si>
  <si>
    <t xml:space="preserve">What should the app do when the gateway returns no checkoutUrl?</t>
  </si>
  <si>
    <t xml:space="preserve">if (paymentUrl != null) has no else, so a null checkout URL navigates nowhere and leaves the order pending with no message.</t>
  </si>
  <si>
    <t xml:space="preserve">Q-58</t>
  </si>
  <si>
    <t xml:space="preserve">Should the app confirm payment with the server rather than infer it from the redirect?</t>
  </si>
  <si>
    <t xml:space="preserve">Success is decided by request.url.contains(targetUrlHostName) — substring, not prefix — and the fallback target is the production domain 'ticket-bangla.com/tickets'. A redirect that succeeds while the webhook failed is reported to the customer as a successful payment.</t>
  </si>
  <si>
    <t xml:space="preserve">Q-59</t>
  </si>
  <si>
    <t xml:space="preserve">The app passes user_id as a query parameter on GET user/my-profile, where the portal relies on the bearer token. Whether the identity API honours the query parameter or the token decides whose profile is returned.</t>
  </si>
  <si>
    <t xml:space="preserve">profile_api_service_impl.dart:17-22</t>
  </si>
  <si>
    <t xml:space="preserve">Q-60</t>
  </si>
  <si>
    <t xml:space="preserve">The two clients format dob differently — the app as yyyy-MM-dd, the portal as a full ISO timestamp — and Q-59 adds the user_id query parameter. If the identity API validates strictly, one of the two clients will fail.</t>
  </si>
  <si>
    <t xml:space="preserve">Q-61</t>
  </si>
  <si>
    <t xml:space="preserve">delete-my-profile is implemented but unreachable. auth_api_service_impl.dart:296 calls the endpoint, but no view model or screen invokes it and no route exists. This contradicts X-11, which must be corrected — the data layer exists, the UI does not.</t>
  </si>
  <si>
    <t xml:space="preserve">auth_api_service_impl.dart:296</t>
  </si>
  <si>
    <t xml:space="preserve">Q-62</t>
  </si>
  <si>
    <t xml:space="preserve">Is the PushNotification service meant to be reachable without a token?</t>
  </si>
  <si>
    <t xml:space="preserve">All three of the app's device-token calls (POST/PUT/DELETE) go to a service whose UseAuthentication() and UseAuthorization() are commented out. On paper any caller can add or delete tokens or read another user's tokens.</t>
  </si>
  <si>
    <t xml:space="preserve">U-09, X-18</t>
  </si>
  <si>
    <t xml:space="preserve">Q-63</t>
  </si>
  <si>
    <t xml:space="preserve">Is the 2-second iOS APNs token wait long enough in production?</t>
  </si>
  <si>
    <t xml:space="preserve">getAPNSToken() is awaited after a fixed 2-second delay and a null token returns early, with the outer catch swallowing the failure. Whether that suffices on a real device and a real network is a deployment/environment fact this review cannot settle — locally the answer is masked by the dummy Firebase configuration.</t>
  </si>
  <si>
    <t xml:space="preserve">U-09, U-10</t>
  </si>
  <si>
    <t xml:space="preserve">Q-64</t>
  </si>
  <si>
    <t xml:space="preserve">Push handling is incomplete in the app. There is no onBackgroundMessage handler and no tap-navigation handler (getNotificationAppLaunchDetails / onMessageOpenedApp are absent), and if (message.notification == null) return; drops data-only messages. Tapping a notification opens the app but routes nowhere — so "your tickets are ready" does not take the customer to their tickets.</t>
  </si>
  <si>
    <t xml:space="preserve">Q-65</t>
  </si>
  <si>
    <t xml:space="preserve">No read receipt exists. The app makes no API call when a notification arrives, and there is no read-receipt endpoint in the platform. The platform cannot tell whether a customer saw the ticket-ready notification, which matters for the S-12 support workflow.</t>
  </si>
  <si>
    <t xml:space="preserve">Q-66</t>
  </si>
  <si>
    <t xml:space="preserve">Should a checker assigned to several events be able to switch between them?</t>
  </si>
  <si>
    <t xml:space="preserve">Multiple assignments are silently collapsed to the first (eventList.first in qr_page_view_model.dart:154 and event_page_view_model.dart:60), so a checker covering two events can only work the first with no way to switch — while the admin portal supports many-to-many assignment. Either the app or the assignment screen needs to change.</t>
  </si>
  <si>
    <t xml:space="preserve">A-18, C-01</t>
  </si>
  <si>
    <t xml:space="preserve">Q-67</t>
  </si>
  <si>
    <t xml:space="preserve">Should the leftover movie* route enum names be removed?</t>
  </si>
  <si>
    <t xml:space="preserve">movieList, movieDetails, movieSearch and movieBookmark in route_path.dart come from a movie-ticket template; movieList, movieDetails and movieBookmark have no feature folder behind them, and movieSearch is dead too. Confirm there is no external deep link that depends on these paths before deleting.</t>
  </si>
  <si>
    <t xml:space="preserve">Q-68</t>
  </si>
  <si>
    <t xml:space="preserve">The -1 manual-entry convention is undocumented. state.isManual ? -1 : 1 is the only place manual entries are distinguished on the wire, and nothing in the backend documents or validates the sign. Confirm with BS23 what -1 means to the server before changing it — gate reports depend on it.</t>
  </si>
  <si>
    <t xml:space="preserve">qr_repository_impl.dart:24-26</t>
  </si>
  <si>
    <t xml:space="preserve">C-02, C-04, C-05</t>
  </si>
  <si>
    <t xml:space="preserve">Q-69</t>
  </si>
  <si>
    <t xml:space="preserve">Should the offline ticket download be paged or chunked?</t>
  </si>
  <si>
    <t xml:space="preserve">The download is a single request with no paging, no cursor and no signed payload, returning the whole {ticketId: checkedNumber} map. For a large stadium event this is one very large response with no progress reporting, and there is no guard on free device storage. Confirm the maximum expected event size.</t>
  </si>
  <si>
    <t xml:space="preserve">Q-70</t>
  </si>
  <si>
    <t xml:space="preserve">What is the drift/SQLite migration story for the checker app?</t>
  </si>
  <si>
    <t xml:space="preserve">app_database.dart plus generated .g.dart files, with no visible migration steps. A schema change on an already-installed app therefore needs explicit handling that is not visible in the repository — confirm how shipped installs are meant to be upgraded.</t>
  </si>
  <si>
    <t xml:space="preserve">C-02, C-05</t>
  </si>
  <si>
    <t xml:space="preserve">Q-71</t>
  </si>
  <si>
    <t xml:space="preserve">A missing QR label throws instead of showing "incorrect QR". .where((e) =&gt; e.label == "…").toList().single raises on zero or multiple matches, so a malformed or third-party QR produces an unhandled exception rather than a friendly message.</t>
  </si>
  <si>
    <t xml:space="preserve">qr_page_view_model.dart</t>
  </si>
  <si>
    <t xml:space="preserve">Q-72</t>
  </si>
  <si>
    <t xml:space="preserve">iOS cannot verify any QR code. AppDelegate.swift (13 lines) registers plugins only — there is no certificate/methods handler and no Swift implementation. Every verifyQrData throws, is caught, returns null, and every ticket is reported incorrect. The checker app is Android-only for real validation until a Swift verifyCertificate is written. This is not a barcode-scanner limitation.</t>
  </si>
  <si>
    <t xml:space="preserve">AppDelegate.swift:1-13</t>
  </si>
  <si>
    <t xml:space="preserve">C-03, C-06</t>
  </si>
  <si>
    <t xml:space="preserve">Q-73</t>
  </si>
  <si>
    <t xml:space="preserve">Who owns VDS certificate rotation for the checker app?</t>
  </si>
  <si>
    <t xml:space="preserve">The trust anchor is a single PEM certificate read from .env VDS_CERTIFICATE. Rotating or adding a certificate is an app release, and any ticket signed by a previous certificate fails validation on devices that have not updated. This needs an operational owner and a rotation runbook before go-live.</t>
  </si>
  <si>
    <t xml:space="preserve">Q-74</t>
  </si>
  <si>
    <t xml:space="preserve">Duplicate scanning is detected only locally, by count &gt; 0. Two devices at the same gate with the same download can both accept the same ticket; the server is only told later by the sync.</t>
  </si>
  <si>
    <t xml:space="preserve">Q-75</t>
  </si>
  <si>
    <t xml:space="preserve">A manual entry skips VDS signature verification entirely. The signature path exists only in onQRCodeDetected; manual entry goes straight to the local-map lookup. A checker can therefore accept any ticket id present in the downloaded set, printed or not — and an unknown id is still written to the database, becoming a later -1 report for a ticket that does not exist. The commented-out length validation widens this further.</t>
  </si>
  <si>
    <t xml:space="preserve">A failed sync still updates "last sync time". _lastSyncTime is set unconditionally before the result is known, so the UI can claim a successful sync that never happened. The scans themselves are safe — only the displayed time lies. There is also no retry backoff and no failure counter.</t>
  </si>
  <si>
    <t xml:space="preserve">qr_page_view_model.dart:129</t>
  </si>
  <si>
    <t xml:space="preserve">Is /manualTicketValidation intended for admissions? It proves authenticity only — not event, not gate, not already-used. Anyone using it to admit customers would admit a used or wrong-gate ticket. It should be labelled as a diagnostic tool in the UI.</t>
  </si>
  <si>
    <t xml:space="preserve">Technical Traceability — feature → service, endpoint, state</t>
  </si>
  <si>
    <t xml:space="preserve">From 02-traceability-matrix.md (§2, §3, §4). For DEV/OPS: where each feature's behaviour lives.</t>
  </si>
  <si>
    <t xml:space="preserve">Also touches / trigger</t>
  </si>
  <si>
    <t xml:space="preserve">Auth</t>
  </si>
  <si>
    <t xml:space="preserve">Queues</t>
  </si>
  <si>
    <t xml:space="preserve">Redis keys</t>
  </si>
  <si>
    <t xml:space="preserve">Local state</t>
  </si>
  <si>
    <t xml:space="preserve">External systems</t>
  </si>
  <si>
    <t xml:space="preserve">Cognito (session), localStorage</t>
  </si>
  <si>
    <t xml:space="preserve">admin</t>
  </si>
  <si>
    <t xml:space="preserve">localStorage globalProgramId</t>
  </si>
  <si>
    <t xml:space="preserve">S3 (venue media)</t>
  </si>
  <si>
    <t xml:space="preserve">S3 / CloudFront</t>
  </si>
  <si>
    <t xml:space="preserve">Redis</t>
  </si>
  <si>
    <t xml:space="preserve">capacity/*, capacityAction</t>
  </si>
  <si>
    <t xml:space="preserve">TicketProcessing queue</t>
  </si>
  <si>
    <t xml:space="preserve">TicketProcessing</t>
  </si>
  <si>
    <t xml:space="preserve">S3 (layout files)</t>
  </si>
  <si>
    <t xml:space="preserve">Not read by the customer pricing page</t>
  </si>
  <si>
    <t xml:space="preserve">Scheduler (S-16)</t>
  </si>
  <si>
    <t xml:space="preserve">Scheduler (S-17)</t>
  </si>
  <si>
    <t xml:space="preserve">Cognito (checker pool)</t>
  </si>
  <si>
    <t xml:space="preserve">Redis (TicketCheckerLevelGateMap)</t>
  </si>
  <si>
    <t xml:space="preserve">TicketCheckerLevelGateMap</t>
  </si>
  <si>
    <t xml:space="preserve">Scheduler (S-14)</t>
  </si>
  <si>
    <t xml:space="preserve">Redis (live capacity)</t>
  </si>
  <si>
    <t xml:space="preserve">capacity (hash)</t>
  </si>
  <si>
    <t xml:space="preserve">SignalR, external notification (Q-05)</t>
  </si>
  <si>
    <t xml:space="preserve">External notification service</t>
  </si>
  <si>
    <t xml:space="preserve">Cognito (admin pool)</t>
  </si>
  <si>
    <t xml:space="preserve">Cognito (agent pool)</t>
  </si>
  <si>
    <t xml:space="preserve">S3</t>
  </si>
  <si>
    <t xml:space="preserve">HTML stored unsanitised (Q-33)</t>
  </si>
  <si>
    <t xml:space="preserve">Published-content keys</t>
  </si>
  <si>
    <t xml:space="preserve">Not read by the portal (Q-35)</t>
  </si>
  <si>
    <t xml:space="preserve">Redis (published list)</t>
  </si>
  <si>
    <t xml:space="preserve">Redis (live seats)</t>
  </si>
  <si>
    <t xml:space="preserve">user</t>
  </si>
  <si>
    <t xml:space="preserve">level_live:{e}_{g}_{b}_{l}; level_live_seats:{e}_{g}_{b}_{l}</t>
  </si>
  <si>
    <t xml:space="preserve">Redis (seat lock)</t>
  </si>
  <si>
    <t xml:space="preserve">level_locked:{e}_{g}_{b}_{l}</t>
  </si>
  <si>
    <t xml:space="preserve">DgePay, Redis</t>
  </si>
  <si>
    <t xml:space="preserve">OrderSuccess; VatChallanProcessing</t>
  </si>
  <si>
    <t xml:space="preserve">DgePay</t>
  </si>
  <si>
    <t xml:space="preserve">S3, SES</t>
  </si>
  <si>
    <t xml:space="preserve">OneID</t>
  </si>
  <si>
    <t xml:space="preserve">user; no owner check (Q-41)</t>
  </si>
  <si>
    <t xml:space="preserve">— (Q-01)</t>
  </si>
  <si>
    <t xml:space="preserve">identity API (Q-01)</t>
  </si>
  <si>
    <t xml:space="preserve">SignalR; REST fallback has no auth (Q-46)</t>
  </si>
  <si>
    <t xml:space="preserve">localStorage; DB content never translated (Q-44)</t>
  </si>
  <si>
    <t xml:space="preserve">SharedPreferences selectedLanguage</t>
  </si>
  <si>
    <t xml:space="preserve">— (Q-51, Q-52)</t>
  </si>
  <si>
    <t xml:space="preserve">identity API</t>
  </si>
  <si>
    <t xml:space="preserve">Redis; no polling (Q-56)</t>
  </si>
  <si>
    <t xml:space="preserve">level_live_seats:{e}_{g}_{b}_{l}</t>
  </si>
  <si>
    <t xml:space="preserve">DgePay via WebView; success inferred from the URL (Q-58)</t>
  </si>
  <si>
    <t xml:space="preserve">.env PAYMENT_SUCCESS_URL</t>
  </si>
  <si>
    <t xml:space="preserve">S3, no polling (Q-54)</t>
  </si>
  <si>
    <t xml:space="preserve">delete-my-profile unreachable (Q-61)</t>
  </si>
  <si>
    <t xml:space="preserve">identity API (Q-59)</t>
  </si>
  <si>
    <t xml:space="preserve">SignalR first, REST fallback</t>
  </si>
  <si>
    <t xml:space="preserve">Service has no auth (Q-62)</t>
  </si>
  <si>
    <t xml:space="preserve">none (Q-62)</t>
  </si>
  <si>
    <t xml:space="preserve">Firebase</t>
  </si>
  <si>
    <t xml:space="preserve">No tap navigation, no receipt (Q-64, Q-65)</t>
  </si>
  <si>
    <t xml:space="preserve">SharedPreferences cache</t>
  </si>
  <si>
    <t xml:space="preserve">checker</t>
  </si>
  <si>
    <t xml:space="preserve">SharedPreferences event-list</t>
  </si>
  <si>
    <t xml:space="preserve">Local SQLite (drift)</t>
  </si>
  <si>
    <t xml:space="preserve">drift qrTable (SQLite)</t>
  </si>
  <si>
    <t xml:space="preserve">Method channel; Android only (Q-72)</t>
  </si>
  <si>
    <t xml:space="preserve">local</t>
  </si>
  <si>
    <t xml:space="preserve">drift qrTable (SQLite); .env VDS_CERTIFICATE</t>
  </si>
  <si>
    <t xml:space="preserve">TSP (VDS)</t>
  </si>
  <si>
    <t xml:space="preserve">Local SQLite; no signature check (Q-75)</t>
  </si>
  <si>
    <t xml:space="preserve">Redis ticketCheckerDbSync (Q-17)</t>
  </si>
  <si>
    <t xml:space="preserve">Method channel; diagnostic only (Q-77)</t>
  </si>
  <si>
    <t xml:space="preserve">.env VDS_CERTIFICATE</t>
  </si>
  <si>
    <t xml:space="preserve">OrderSuccess queue</t>
  </si>
  <si>
    <t xml:space="preserve">EventCapacity</t>
  </si>
  <si>
    <t xml:space="preserve">EventCapacity queue</t>
  </si>
  <si>
    <t xml:space="preserve">level_live:{e}_{g}_{b}_{l}</t>
  </si>
  <si>
    <t xml:space="preserve">Timer + RedLock</t>
  </si>
  <si>
    <t xml:space="preserve">level_locked:{e}_{g}_{b}_{l}; refresh (set)</t>
  </si>
  <si>
    <t xml:space="preserve">Timer</t>
  </si>
  <si>
    <t xml:space="preserve">Timer (7–10 min)</t>
  </si>
  <si>
    <t xml:space="preserve">Timer (15 min loop)</t>
  </si>
  <si>
    <t xml:space="preserve">OrderSuccess</t>
  </si>
  <si>
    <t xml:space="preserve">TicketSigning queue</t>
  </si>
  <si>
    <t xml:space="preserve">TicketSigning</t>
  </si>
  <si>
    <t xml:space="preserve">SES</t>
  </si>
  <si>
    <t xml:space="preserve">VatChallanProcessing queue</t>
  </si>
  <si>
    <t xml:space="preserve">VatChallanProcessing</t>
  </si>
  <si>
    <t xml:space="preserve">DgePay; NBR VAT</t>
  </si>
  <si>
    <t xml:space="preserve">FirebaseNotification queue</t>
  </si>
  <si>
    <t xml:space="preserve">FirebaseNotification</t>
  </si>
  <si>
    <t xml:space="preserve">Daily timer — may miss its target (Q-16)</t>
  </si>
  <si>
    <t xml:space="preserve">Timer + Redis flag (Q-17)</t>
  </si>
  <si>
    <t xml:space="preserve">Timer, reads Booking via HTTP</t>
  </si>
  <si>
    <t xml:space="preserve">Identity API; OneID</t>
  </si>
  <si>
    <t xml:space="preserve">The app has no UI for delete (Q-61)</t>
  </si>
  <si>
    <t xml:space="preserve">No client (Q-07)</t>
  </si>
  <si>
    <t xml:space="preserve">~2 min cache (Q-32)</t>
  </si>
  <si>
    <t xml:space="preserve">Read before assuming protection (Q-04)</t>
  </si>
  <si>
    <t xml:space="preserve">Q-06, Q-50</t>
  </si>
  <si>
    <t xml:space="preserve">signedToken (CloudFront)</t>
  </si>
  <si>
    <t xml:space="preserve">No auth (Q-62)</t>
  </si>
  <si>
    <t xml:space="preserve">Gap Log — anything the documentation missed</t>
  </si>
  <si>
    <t xml:space="preserve">For the BS-23 review: record features or behaviours that exist in the product but not in the feature docs (or vice versa). Add rows as needed.</t>
  </si>
  <si>
    <t xml:space="preserve">Proposed missing feature / gap</t>
  </si>
  <si>
    <t xml:space="preserve">Why we think it is missing</t>
  </si>
  <si>
    <t xml:space="preserve">Where seen (screen, endpoint, doc)</t>
  </si>
  <si>
    <t xml:space="preserve">Raised by</t>
  </si>
  <si>
    <t xml:space="preserve">Review — workbook integrity self-checks (live formulas)</t>
  </si>
  <si>
    <t xml:space="preserve">Check</t>
  </si>
  <si>
    <t xml:space="preserve">Expected</t>
  </si>
  <si>
    <t xml:space="preserve">Actual</t>
  </si>
  <si>
    <t xml:space="preserve">Feature rows in Feature Matrix</t>
  </si>
  <si>
    <t xml:space="preserve">Open-query rows in Open Queries</t>
  </si>
  <si>
    <t xml:space="preserve">Every feature has a BS-23 status</t>
  </si>
  <si>
    <t xml:space="preserve">Every query has a status</t>
  </si>
  <si>
    <t xml:space="preserve">Summary area totals equal feature rows</t>
  </si>
  <si>
    <t xml:space="preserve">Summary query total equals query rows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</si>
</sst>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sz val="9"/>
      <color rgb="FF8C8A84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sz val="11"/>
      <color rgb="FF37352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u val="single"/>
      <sz val="11"/>
      <color rgb="FF1B2A4A"/>
      <name val="Calibri"/>
      <family val="0"/>
      <charset val="1"/>
    </font>
    <font>
      <b val="true"/>
      <sz val="14"/>
      <color rgb="FF1B2A4A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EF9E7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7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ont>
        <color rgb="FF1B7D46"/>
      </font>
      <fill>
        <patternFill>
          <bgColor rgb="FFE8F5E9"/>
        </patternFill>
      </fill>
    </dxf>
    <dxf>
      <font>
        <color rgb="FFC0392B"/>
      </font>
      <fill>
        <patternFill>
          <bgColor rgb="FFFDEDEC"/>
        </patternFill>
      </fill>
    </dxf>
    <dxf>
      <font>
        <color rgb="FFD4820A"/>
      </font>
      <fill>
        <patternFill>
          <bgColor rgb="FFFEF9E7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D4820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EF9E7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F7F7F5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feature-docs/en/10-admin-portal/A-01-program-selection.md" TargetMode="External"/><Relationship Id="rId2" Type="http://schemas.openxmlformats.org/officeDocument/2006/relationships/hyperlink" Target="../feature-docs/en/10-admin-portal/A-02-programs.md" TargetMode="External"/><Relationship Id="rId3" Type="http://schemas.openxmlformats.org/officeDocument/2006/relationships/hyperlink" Target="../feature-docs/en/10-admin-portal/A-03-program-settings.md" TargetMode="External"/><Relationship Id="rId4" Type="http://schemas.openxmlformats.org/officeDocument/2006/relationships/hyperlink" Target="../feature-docs/en/10-admin-portal/A-04-teams.md" TargetMode="External"/><Relationship Id="rId5" Type="http://schemas.openxmlformats.org/officeDocument/2006/relationships/hyperlink" Target="../feature-docs/en/10-admin-portal/A-05-venues.md" TargetMode="External"/><Relationship Id="rId6" Type="http://schemas.openxmlformats.org/officeDocument/2006/relationships/hyperlink" Target="../feature-docs/en/10-admin-portal/A-06-program-venue-mapping.md" TargetMode="External"/><Relationship Id="rId7" Type="http://schemas.openxmlformats.org/officeDocument/2006/relationships/hyperlink" Target="../feature-docs/en/10-admin-portal/A-07-events.md" TargetMode="External"/><Relationship Id="rId8" Type="http://schemas.openxmlformats.org/officeDocument/2006/relationships/hyperlink" Target="../feature-docs/en/10-admin-portal/A-08-event-settings.md" TargetMode="External"/><Relationship Id="rId9" Type="http://schemas.openxmlformats.org/officeDocument/2006/relationships/hyperlink" Target="../feature-docs/en/10-admin-portal/A-09-event-level-pricing.md" TargetMode="External"/><Relationship Id="rId10" Type="http://schemas.openxmlformats.org/officeDocument/2006/relationships/hyperlink" Target="../feature-docs/en/10-admin-portal/A-10-capacity-adjustment.md" TargetMode="External"/><Relationship Id="rId11" Type="http://schemas.openxmlformats.org/officeDocument/2006/relationships/hyperlink" Target="../feature-docs/en/10-admin-portal/A-11-seat-reservation.md" TargetMode="External"/><Relationship Id="rId12" Type="http://schemas.openxmlformats.org/officeDocument/2006/relationships/hyperlink" Target="../feature-docs/en/10-admin-portal/A-12-reserved-tickets.md" TargetMode="External"/><Relationship Id="rId13" Type="http://schemas.openxmlformats.org/officeDocument/2006/relationships/hyperlink" Target="../feature-docs/en/10-admin-portal/A-13-ticket-layouts.md" TargetMode="External"/><Relationship Id="rId14" Type="http://schemas.openxmlformats.org/officeDocument/2006/relationships/hyperlink" Target="../feature-docs/en/10-admin-portal/A-14-ticket-pricing-content.md" TargetMode="External"/><Relationship Id="rId15" Type="http://schemas.openxmlformats.org/officeDocument/2006/relationships/hyperlink" Target="../feature-docs/en/10-admin-portal/A-15-promo-codes.md" TargetMode="External"/><Relationship Id="rId16" Type="http://schemas.openxmlformats.org/officeDocument/2006/relationships/hyperlink" Target="../feature-docs/en/10-admin-portal/A-16-discounts.md" TargetMode="External"/><Relationship Id="rId17" Type="http://schemas.openxmlformats.org/officeDocument/2006/relationships/hyperlink" Target="../feature-docs/en/10-admin-portal/A-17-ticket-checker-users.md" TargetMode="External"/><Relationship Id="rId18" Type="http://schemas.openxmlformats.org/officeDocument/2006/relationships/hyperlink" Target="../feature-docs/en/10-admin-portal/A-18-gate-assignment.md" TargetMode="External"/><Relationship Id="rId19" Type="http://schemas.openxmlformats.org/officeDocument/2006/relationships/hyperlink" Target="../feature-docs/en/10-admin-portal/A-19-gate-reports.md" TargetMode="External"/><Relationship Id="rId20" Type="http://schemas.openxmlformats.org/officeDocument/2006/relationships/hyperlink" Target="../feature-docs/en/10-admin-portal/A-20-raffle-draw.md" TargetMode="External"/><Relationship Id="rId21" Type="http://schemas.openxmlformats.org/officeDocument/2006/relationships/hyperlink" Target="../feature-docs/en/10-admin-portal/A-21-dashboard.md" TargetMode="External"/><Relationship Id="rId22" Type="http://schemas.openxmlformats.org/officeDocument/2006/relationships/hyperlink" Target="../feature-docs/en/10-admin-portal/A-22-reports.md" TargetMode="External"/><Relationship Id="rId23" Type="http://schemas.openxmlformats.org/officeDocument/2006/relationships/hyperlink" Target="../feature-docs/en/10-admin-portal/A-23-reconciliation.md" TargetMode="External"/><Relationship Id="rId24" Type="http://schemas.openxmlformats.org/officeDocument/2006/relationships/hyperlink" Target="../feature-docs/en/10-admin-portal/A-24-user-issues-admin.md" TargetMode="External"/><Relationship Id="rId25" Type="http://schemas.openxmlformats.org/officeDocument/2006/relationships/hyperlink" Target="../feature-docs/en/10-admin-portal/A-25-admin-users.md" TargetMode="External"/><Relationship Id="rId26" Type="http://schemas.openxmlformats.org/officeDocument/2006/relationships/hyperlink" Target="../feature-docs/en/10-admin-portal/A-26-agent-users.md" TargetMode="External"/><Relationship Id="rId27" Type="http://schemas.openxmlformats.org/officeDocument/2006/relationships/hyperlink" Target="../feature-docs/en/10-admin-portal/A-27-activity-log.md" TargetMode="External"/><Relationship Id="rId28" Type="http://schemas.openxmlformats.org/officeDocument/2006/relationships/hyperlink" Target="../feature-docs/en/10-admin-portal/A-28-media-configuration.md" TargetMode="External"/><Relationship Id="rId29" Type="http://schemas.openxmlformats.org/officeDocument/2006/relationships/hyperlink" Target="../feature-docs/en/10-admin-portal/A-29-content-editor.md" TargetMode="External"/><Relationship Id="rId30" Type="http://schemas.openxmlformats.org/officeDocument/2006/relationships/hyperlink" Target="../feature-docs/en/10-admin-portal/A-30-header-footer-social.md" TargetMode="External"/><Relationship Id="rId31" Type="http://schemas.openxmlformats.org/officeDocument/2006/relationships/hyperlink" Target="../feature-docs/en/10-admin-portal/A-31-general-notices.md" TargetMode="External"/><Relationship Id="rId32" Type="http://schemas.openxmlformats.org/officeDocument/2006/relationships/hyperlink" Target="../feature-docs/en/20-user-portal/P-01-home-content.md" TargetMode="External"/><Relationship Id="rId33" Type="http://schemas.openxmlformats.org/officeDocument/2006/relationships/hyperlink" Target="../feature-docs/en/20-user-portal/P-02-browse-events.md" TargetMode="External"/><Relationship Id="rId34" Type="http://schemas.openxmlformats.org/officeDocument/2006/relationships/hyperlink" Target="../feature-docs/en/20-user-portal/P-03-info-pages.md" TargetMode="External"/><Relationship Id="rId35" Type="http://schemas.openxmlformats.org/officeDocument/2006/relationships/hyperlink" Target="../feature-docs/en/20-user-portal/P-04-seat-selection.md" TargetMode="External"/><Relationship Id="rId36" Type="http://schemas.openxmlformats.org/officeDocument/2006/relationships/hyperlink" Target="../feature-docs/en/20-user-portal/P-05-apply-promo-code.md" TargetMode="External"/><Relationship Id="rId37" Type="http://schemas.openxmlformats.org/officeDocument/2006/relationships/hyperlink" Target="../feature-docs/en/20-user-portal/P-06-booking-payment.md" TargetMode="External"/><Relationship Id="rId38" Type="http://schemas.openxmlformats.org/officeDocument/2006/relationships/hyperlink" Target="../feature-docs/en/20-user-portal/P-07-my-bookings.md" TargetMode="External"/><Relationship Id="rId39" Type="http://schemas.openxmlformats.org/officeDocument/2006/relationships/hyperlink" Target="../feature-docs/en/20-user-portal/P-08-ticket-generation-request.md" TargetMode="External"/><Relationship Id="rId40" Type="http://schemas.openxmlformats.org/officeDocument/2006/relationships/hyperlink" Target="../feature-docs/en/20-user-portal/P-09-ticket-details-downloads.md" TargetMode="External"/><Relationship Id="rId41" Type="http://schemas.openxmlformats.org/officeDocument/2006/relationships/hyperlink" Target="../feature-docs/en/20-user-portal/P-10-oneid-ticket-sync.md" TargetMode="External"/><Relationship Id="rId42" Type="http://schemas.openxmlformats.org/officeDocument/2006/relationships/hyperlink" Target="../feature-docs/en/20-user-portal/P-11-profile.md" TargetMode="External"/><Relationship Id="rId43" Type="http://schemas.openxmlformats.org/officeDocument/2006/relationships/hyperlink" Target="../feature-docs/en/20-user-portal/P-12-issues-chat.md" TargetMode="External"/><Relationship Id="rId44" Type="http://schemas.openxmlformats.org/officeDocument/2006/relationships/hyperlink" Target="../feature-docs/en/20-user-portal/P-13-language-switch.md" TargetMode="External"/><Relationship Id="rId45" Type="http://schemas.openxmlformats.org/officeDocument/2006/relationships/hyperlink" Target="../feature-docs/en/30-user-app/U-01-splash-onboarding.md" TargetMode="External"/><Relationship Id="rId46" Type="http://schemas.openxmlformats.org/officeDocument/2006/relationships/hyperlink" Target="../feature-docs/en/30-user-app/U-02-home-browse-events.md" TargetMode="External"/><Relationship Id="rId47" Type="http://schemas.openxmlformats.org/officeDocument/2006/relationships/hyperlink" Target="../feature-docs/en/30-user-app/U-03-info-pages.md" TargetMode="External"/><Relationship Id="rId48" Type="http://schemas.openxmlformats.org/officeDocument/2006/relationships/hyperlink" Target="../feature-docs/en/30-user-app/U-04-seat-selection-promo.md" TargetMode="External"/><Relationship Id="rId49" Type="http://schemas.openxmlformats.org/officeDocument/2006/relationships/hyperlink" Target="../feature-docs/en/30-user-app/U-05-booking-webview-payment.md" TargetMode="External"/><Relationship Id="rId50" Type="http://schemas.openxmlformats.org/officeDocument/2006/relationships/hyperlink" Target="../feature-docs/en/30-user-app/U-06-my-bookings-tickets.md" TargetMode="External"/><Relationship Id="rId51" Type="http://schemas.openxmlformats.org/officeDocument/2006/relationships/hyperlink" Target="../feature-docs/en/30-user-app/U-07-profile-settings.md" TargetMode="External"/><Relationship Id="rId52" Type="http://schemas.openxmlformats.org/officeDocument/2006/relationships/hyperlink" Target="../feature-docs/en/30-user-app/U-08-issues-chat.md" TargetMode="External"/><Relationship Id="rId53" Type="http://schemas.openxmlformats.org/officeDocument/2006/relationships/hyperlink" Target="../feature-docs/en/30-user-app/U-09-device-token.md" TargetMode="External"/><Relationship Id="rId54" Type="http://schemas.openxmlformats.org/officeDocument/2006/relationships/hyperlink" Target="../feature-docs/en/30-user-app/U-10-push-receipt.md" TargetMode="External"/><Relationship Id="rId55" Type="http://schemas.openxmlformats.org/officeDocument/2006/relationships/hyperlink" Target="../feature-docs/en/40-checker-app/C-01-assigned-event-gate.md" TargetMode="External"/><Relationship Id="rId56" Type="http://schemas.openxmlformats.org/officeDocument/2006/relationships/hyperlink" Target="../feature-docs/en/40-checker-app/C-02-offline-ticket-download.md" TargetMode="External"/><Relationship Id="rId57" Type="http://schemas.openxmlformats.org/officeDocument/2006/relationships/hyperlink" Target="../feature-docs/en/40-checker-app/C-03-qr-scan-validation.md" TargetMode="External"/><Relationship Id="rId58" Type="http://schemas.openxmlformats.org/officeDocument/2006/relationships/hyperlink" Target="../feature-docs/en/40-checker-app/C-04-manual-entry.md" TargetMode="External"/><Relationship Id="rId59" Type="http://schemas.openxmlformats.org/officeDocument/2006/relationships/hyperlink" Target="../feature-docs/en/40-checker-app/C-05-ticket-sync.md" TargetMode="External"/><Relationship Id="rId60" Type="http://schemas.openxmlformats.org/officeDocument/2006/relationships/hyperlink" Target="../feature-docs/en/40-checker-app/C-06-manual-ticket-validation.md" TargetMode="External"/><Relationship Id="rId61" Type="http://schemas.openxmlformats.org/officeDocument/2006/relationships/hyperlink" Target="../feature-docs/en/50-system-initiated/S-01-level-capacity-update.md" TargetMode="External"/><Relationship Id="rId62" Type="http://schemas.openxmlformats.org/officeDocument/2006/relationships/hyperlink" Target="../feature-docs/en/50-system-initiated/S-02-event-live-capacity.md" TargetMode="External"/><Relationship Id="rId63" Type="http://schemas.openxmlformats.org/officeDocument/2006/relationships/hyperlink" Target="../feature-docs/en/50-system-initiated/S-03-locked-capacity-refresh.md" TargetMode="External"/><Relationship Id="rId64" Type="http://schemas.openxmlformats.org/officeDocument/2006/relationships/hyperlink" Target="../feature-docs/en/50-system-initiated/S-04-scheduler-capacity-update.md" TargetMode="External"/><Relationship Id="rId65" Type="http://schemas.openxmlformats.org/officeDocument/2006/relationships/hyperlink" Target="../feature-docs/en/50-system-initiated/S-05-pending-failed-revalidation.md" TargetMode="External"/><Relationship Id="rId66" Type="http://schemas.openxmlformats.org/officeDocument/2006/relationships/hyperlink" Target="../feature-docs/en/50-system-initiated/S-06-booking-status-generated.md" TargetMode="External"/><Relationship Id="rId67" Type="http://schemas.openxmlformats.org/officeDocument/2006/relationships/hyperlink" Target="../feature-docs/en/50-system-initiated/S-07-initiate-user-ticket-generation.md" TargetMode="External"/><Relationship Id="rId68" Type="http://schemas.openxmlformats.org/officeDocument/2006/relationships/hyperlink" Target="../feature-docs/en/50-system-initiated/S-08-ticket-signing.md" TargetMode="External"/><Relationship Id="rId69" Type="http://schemas.openxmlformats.org/officeDocument/2006/relationships/hyperlink" Target="../feature-docs/en/50-system-initiated/S-09-ticket-merge-zip.md" TargetMode="External"/><Relationship Id="rId70" Type="http://schemas.openxmlformats.org/officeDocument/2006/relationships/hyperlink" Target="../feature-docs/en/50-system-initiated/S-10-vat-challan.md" TargetMode="External"/><Relationship Id="rId71" Type="http://schemas.openxmlformats.org/officeDocument/2006/relationships/hyperlink" Target="../feature-docs/en/50-system-initiated/S-11-firebase-notification.md" TargetMode="External"/><Relationship Id="rId72" Type="http://schemas.openxmlformats.org/officeDocument/2006/relationships/hyperlink" Target="../feature-docs/en/50-system-initiated/S-12-ticket-generated-notification.md" TargetMode="External"/><Relationship Id="rId73" Type="http://schemas.openxmlformats.org/officeDocument/2006/relationships/hyperlink" Target="../feature-docs/en/50-system-initiated/S-13-device-token-cleanup.md" TargetMode="External"/><Relationship Id="rId74" Type="http://schemas.openxmlformats.org/officeDocument/2006/relationships/hyperlink" Target="../feature-docs/en/50-system-initiated/S-14-checked-ticket-sync.md" TargetMode="External"/><Relationship Id="rId75" Type="http://schemas.openxmlformats.org/officeDocument/2006/relationships/hyperlink" Target="../feature-docs/en/50-system-initiated/S-15-gate-download-status-cleanup.md" TargetMode="External"/><Relationship Id="rId76" Type="http://schemas.openxmlformats.org/officeDocument/2006/relationships/hyperlink" Target="../feature-docs/en/50-system-initiated/S-16-promo-code-status.md" TargetMode="External"/><Relationship Id="rId77" Type="http://schemas.openxmlformats.org/officeDocument/2006/relationships/hyperlink" Target="../feature-docs/en/50-system-initiated/S-17-discount-status.md" TargetMode="External"/><Relationship Id="rId78" Type="http://schemas.openxmlformats.org/officeDocument/2006/relationships/hyperlink" Target="../feature-docs/en/60-cross-cutting/X-01-admin-login.md" TargetMode="External"/><Relationship Id="rId79" Type="http://schemas.openxmlformats.org/officeDocument/2006/relationships/hyperlink" Target="../feature-docs/en/60-cross-cutting/X-02-admin-forgot-password.md" TargetMode="External"/><Relationship Id="rId80" Type="http://schemas.openxmlformats.org/officeDocument/2006/relationships/hyperlink" Target="../feature-docs/en/60-cross-cutting/X-03-admin-change-password-logout.md" TargetMode="External"/><Relationship Id="rId81" Type="http://schemas.openxmlformats.org/officeDocument/2006/relationships/hyperlink" Target="../feature-docs/en/60-cross-cutting/X-04-admin-session.md" TargetMode="External"/><Relationship Id="rId82" Type="http://schemas.openxmlformats.org/officeDocument/2006/relationships/hyperlink" Target="../feature-docs/en/60-cross-cutting/X-05-admin-provisioning.md" TargetMode="External"/><Relationship Id="rId83" Type="http://schemas.openxmlformats.org/officeDocument/2006/relationships/hyperlink" Target="../feature-docs/en/60-cross-cutting/X-06-user-registration.md" TargetMode="External"/><Relationship Id="rId84" Type="http://schemas.openxmlformats.org/officeDocument/2006/relationships/hyperlink" Target="../feature-docs/en/60-cross-cutting/X-07-user-password-login.md" TargetMode="External"/><Relationship Id="rId85" Type="http://schemas.openxmlformats.org/officeDocument/2006/relationships/hyperlink" Target="../feature-docs/en/60-cross-cutting/X-08-oneid-sso.md" TargetMode="External"/><Relationship Id="rId86" Type="http://schemas.openxmlformats.org/officeDocument/2006/relationships/hyperlink" Target="../feature-docs/en/60-cross-cutting/X-09-user-forgot-password.md" TargetMode="External"/><Relationship Id="rId87" Type="http://schemas.openxmlformats.org/officeDocument/2006/relationships/hyperlink" Target="../feature-docs/en/60-cross-cutting/X-10-user-session.md" TargetMode="External"/><Relationship Id="rId88" Type="http://schemas.openxmlformats.org/officeDocument/2006/relationships/hyperlink" Target="../feature-docs/en/60-cross-cutting/X-11-delete-account-force-update.md" TargetMode="External"/><Relationship Id="rId89" Type="http://schemas.openxmlformats.org/officeDocument/2006/relationships/hyperlink" Target="../feature-docs/en/60-cross-cutting/X-12-checker-login.md" TargetMode="External"/><Relationship Id="rId90" Type="http://schemas.openxmlformats.org/officeDocument/2006/relationships/hyperlink" Target="../feature-docs/en/60-cross-cutting/X-13-agent-pool.md" TargetMode="External"/><Relationship Id="rId91" Type="http://schemas.openxmlformats.org/officeDocument/2006/relationships/hyperlink" Target="../feature-docs/en/60-cross-cutting/X-14-authz-pool-policies.md" TargetMode="External"/><Relationship Id="rId92" Type="http://schemas.openxmlformats.org/officeDocument/2006/relationships/hyperlink" Target="../feature-docs/en/60-cross-cutting/X-15-authz-roles.md" TargetMode="External"/><Relationship Id="rId93" Type="http://schemas.openxmlformats.org/officeDocument/2006/relationships/hyperlink" Target="../feature-docs/en/60-cross-cutting/X-16-authz-program-scope.md" TargetMode="External"/><Relationship Id="rId94" Type="http://schemas.openxmlformats.org/officeDocument/2006/relationships/hyperlink" Target="../feature-docs/en/60-cross-cutting/X-17-authz-client-side.md" TargetMode="External"/><Relationship Id="rId95" Type="http://schemas.openxmlformats.org/officeDocument/2006/relationships/hyperlink" Target="../feature-docs/en/60-cross-cutting/X-18-endpoints-without-auth.md" TargetMode="External"/><Relationship Id="rId96" Type="http://schemas.openxmlformats.org/officeDocument/2006/relationships/hyperlink" Target="../feature-docs/en/60-cross-cutting/X-19-service-to-service.md" TargetMode="External"/><Relationship Id="rId97" Type="http://schemas.openxmlformats.org/officeDocument/2006/relationships/hyperlink" Target="../feature-docs/en/60-cross-cutting/X-20-file-storage.md" TargetMode="External"/><Relationship Id="rId98" Type="http://schemas.openxmlformats.org/officeDocument/2006/relationships/hyperlink" Target="../feature-docs/en/60-cross-cutting/X-21-email-ses.md" TargetMode="External"/><Relationship Id="rId99" Type="http://schemas.openxmlformats.org/officeDocument/2006/relationships/hyperlink" Target="../feature-docs/en/60-cross-cutting/X-22-sms-notification.md" TargetMode="External"/><Relationship Id="rId100" Type="http://schemas.openxmlformats.org/officeDocument/2006/relationships/hyperlink" Target="../feature-docs/en/60-cross-cutting/X-23-push-firebase.md" TargetMode="External"/><Relationship Id="rId101" Type="http://schemas.openxmlformats.org/officeDocument/2006/relationships/hyperlink" Target="../feature-docs/en/60-cross-cutting/X-24-activity-logging.md" TargetMode="External"/><Relationship Id="rId102" Type="http://schemas.openxmlformats.org/officeDocument/2006/relationships/hyperlink" Target="../feature-docs/en/60-cross-cutting/X-25-redis.md" TargetMode="External"/><Relationship Id="rId103" Type="http://schemas.openxmlformats.org/officeDocument/2006/relationships/hyperlink" Target="../feature-docs/en/60-cross-cutting/X-26-configuration.md" TargetMode="External"/><Relationship Id="rId104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A84"/>
    <pageSetUpPr fitToPage="false"/>
  </sheetPr>
  <dimension ref="B1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34"/>
    <col collapsed="false" customWidth="true" hidden="false" outlineLevel="0" max="6" min="5" style="1" width="2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false" outlineLevel="0" collapsed="false">
      <c r="B3" s="3" t="s">
        <v>1</v>
      </c>
      <c r="C3" s="3"/>
      <c r="D3" s="3"/>
      <c r="E3" s="3"/>
      <c r="F3" s="3"/>
    </row>
    <row r="5" customFormat="false" ht="24" hidden="false" customHeight="true" outlineLevel="0" collapsed="false">
      <c r="B5" s="4" t="s">
        <v>2</v>
      </c>
    </row>
    <row r="6" customFormat="false" ht="51.75" hidden="false" customHeight="true" outlineLevel="0" collapsed="false">
      <c r="B6" s="5" t="s">
        <v>3</v>
      </c>
      <c r="C6" s="5"/>
      <c r="D6" s="5"/>
      <c r="E6" s="5"/>
      <c r="F6" s="5"/>
    </row>
    <row r="8" customFormat="false" ht="24" hidden="false" customHeight="true" outlineLevel="0" collapsed="false">
      <c r="B8" s="4" t="s">
        <v>4</v>
      </c>
    </row>
    <row r="9" customFormat="false" ht="30" hidden="false" customHeight="true" outlineLevel="0" collapsed="false">
      <c r="B9" s="6" t="s">
        <v>5</v>
      </c>
      <c r="C9" s="6" t="s">
        <v>6</v>
      </c>
      <c r="D9" s="6"/>
      <c r="E9" s="6"/>
      <c r="F9" s="6"/>
    </row>
    <row r="10" customFormat="false" ht="36" hidden="false" customHeight="true" outlineLevel="0" collapsed="false">
      <c r="B10" s="7" t="s">
        <v>7</v>
      </c>
      <c r="C10" s="7" t="s">
        <v>8</v>
      </c>
      <c r="D10" s="8"/>
      <c r="E10" s="8"/>
      <c r="F10" s="8"/>
    </row>
    <row r="11" customFormat="false" ht="65.25" hidden="false" customHeight="true" outlineLevel="0" collapsed="false">
      <c r="B11" s="9" t="s">
        <v>9</v>
      </c>
      <c r="C11" s="9" t="s">
        <v>10</v>
      </c>
      <c r="D11" s="10"/>
      <c r="E11" s="10"/>
      <c r="F11" s="10"/>
    </row>
    <row r="12" customFormat="false" ht="51" hidden="false" customHeight="true" outlineLevel="0" collapsed="false">
      <c r="B12" s="7" t="s">
        <v>11</v>
      </c>
      <c r="C12" s="7" t="s">
        <v>12</v>
      </c>
      <c r="D12" s="8"/>
      <c r="E12" s="8"/>
      <c r="F12" s="8"/>
    </row>
    <row r="13" customFormat="false" ht="51" hidden="false" customHeight="true" outlineLevel="0" collapsed="false">
      <c r="B13" s="9" t="s">
        <v>13</v>
      </c>
      <c r="C13" s="9" t="s">
        <v>14</v>
      </c>
      <c r="D13" s="10"/>
      <c r="E13" s="10"/>
      <c r="F13" s="10"/>
    </row>
    <row r="14" customFormat="false" ht="51" hidden="false" customHeight="true" outlineLevel="0" collapsed="false">
      <c r="B14" s="7" t="s">
        <v>15</v>
      </c>
      <c r="C14" s="7" t="s">
        <v>16</v>
      </c>
      <c r="D14" s="8"/>
      <c r="E14" s="8"/>
      <c r="F14" s="8"/>
    </row>
    <row r="16" customFormat="false" ht="24" hidden="false" customHeight="true" outlineLevel="0" collapsed="false">
      <c r="B16" s="4" t="s">
        <v>17</v>
      </c>
    </row>
    <row r="17" customFormat="false" ht="30" hidden="false" customHeight="true" outlineLevel="0" collapsed="false">
      <c r="B17" s="6" t="s">
        <v>18</v>
      </c>
      <c r="C17" s="6" t="s">
        <v>19</v>
      </c>
      <c r="D17" s="6"/>
      <c r="E17" s="6"/>
      <c r="F17" s="6"/>
    </row>
    <row r="18" customFormat="false" ht="36" hidden="false" customHeight="true" outlineLevel="0" collapsed="false">
      <c r="B18" s="7" t="s">
        <v>20</v>
      </c>
      <c r="C18" s="7" t="s">
        <v>21</v>
      </c>
      <c r="D18" s="8"/>
      <c r="E18" s="8"/>
      <c r="F18" s="8"/>
    </row>
    <row r="19" customFormat="false" ht="36" hidden="false" customHeight="true" outlineLevel="0" collapsed="false">
      <c r="B19" s="9" t="s">
        <v>22</v>
      </c>
      <c r="C19" s="9" t="s">
        <v>23</v>
      </c>
      <c r="D19" s="10"/>
      <c r="E19" s="10"/>
      <c r="F19" s="10"/>
    </row>
    <row r="20" customFormat="false" ht="36" hidden="false" customHeight="true" outlineLevel="0" collapsed="false">
      <c r="B20" s="7" t="s">
        <v>24</v>
      </c>
      <c r="C20" s="7" t="s">
        <v>25</v>
      </c>
      <c r="D20" s="8"/>
      <c r="E20" s="8"/>
      <c r="F20" s="8"/>
    </row>
    <row r="21" customFormat="false" ht="36" hidden="false" customHeight="true" outlineLevel="0" collapsed="false">
      <c r="B21" s="9" t="s">
        <v>26</v>
      </c>
      <c r="C21" s="9" t="s">
        <v>27</v>
      </c>
      <c r="D21" s="10"/>
      <c r="E21" s="10"/>
      <c r="F21" s="10"/>
    </row>
    <row r="22" customFormat="false" ht="36" hidden="false" customHeight="true" outlineLevel="0" collapsed="false">
      <c r="B22" s="7" t="s">
        <v>28</v>
      </c>
      <c r="C22" s="7" t="s">
        <v>29</v>
      </c>
      <c r="D22" s="8"/>
      <c r="E22" s="8"/>
      <c r="F22" s="8"/>
    </row>
    <row r="24" customFormat="false" ht="24" hidden="false" customHeight="true" outlineLevel="0" collapsed="false">
      <c r="B24" s="4" t="s">
        <v>30</v>
      </c>
    </row>
    <row r="25" customFormat="false" ht="30" hidden="false" customHeight="true" outlineLevel="0" collapsed="false">
      <c r="B25" s="6" t="s">
        <v>31</v>
      </c>
      <c r="C25" s="6" t="s">
        <v>32</v>
      </c>
      <c r="D25" s="6"/>
      <c r="E25" s="6"/>
      <c r="F25" s="6"/>
    </row>
    <row r="26" customFormat="false" ht="51" hidden="false" customHeight="true" outlineLevel="0" collapsed="false">
      <c r="B26" s="7" t="s">
        <v>33</v>
      </c>
      <c r="C26" s="7" t="s">
        <v>34</v>
      </c>
      <c r="D26" s="8"/>
      <c r="E26" s="8"/>
      <c r="F26" s="8"/>
    </row>
    <row r="27" customFormat="false" ht="21.75" hidden="false" customHeight="true" outlineLevel="0" collapsed="false">
      <c r="B27" s="9" t="s">
        <v>35</v>
      </c>
      <c r="C27" s="9" t="s">
        <v>36</v>
      </c>
      <c r="D27" s="10"/>
      <c r="E27" s="10"/>
      <c r="F27" s="10"/>
    </row>
    <row r="28" customFormat="false" ht="21.75" hidden="false" customHeight="true" outlineLevel="0" collapsed="false">
      <c r="B28" s="7" t="s">
        <v>37</v>
      </c>
      <c r="C28" s="7" t="s">
        <v>38</v>
      </c>
      <c r="D28" s="8"/>
      <c r="E28" s="8"/>
      <c r="F28" s="8"/>
    </row>
    <row r="29" customFormat="false" ht="21.75" hidden="false" customHeight="true" outlineLevel="0" collapsed="false">
      <c r="B29" s="9" t="s">
        <v>39</v>
      </c>
      <c r="C29" s="9" t="s">
        <v>40</v>
      </c>
      <c r="D29" s="10"/>
      <c r="E29" s="10"/>
      <c r="F29" s="10"/>
    </row>
    <row r="30" customFormat="false" ht="21.75" hidden="false" customHeight="true" outlineLevel="0" collapsed="false">
      <c r="B30" s="7" t="s">
        <v>41</v>
      </c>
      <c r="C30" s="7" t="s">
        <v>42</v>
      </c>
      <c r="D30" s="8"/>
      <c r="E30" s="8"/>
      <c r="F30" s="8"/>
    </row>
    <row r="31" customFormat="false" ht="36" hidden="false" customHeight="true" outlineLevel="0" collapsed="false">
      <c r="B31" s="9" t="s">
        <v>43</v>
      </c>
      <c r="C31" s="9" t="s">
        <v>44</v>
      </c>
      <c r="D31" s="10"/>
      <c r="E31" s="10"/>
      <c r="F31" s="10"/>
    </row>
    <row r="32" customFormat="false" ht="21.75" hidden="false" customHeight="true" outlineLevel="0" collapsed="false">
      <c r="B32" s="7" t="s">
        <v>45</v>
      </c>
      <c r="C32" s="7" t="s">
        <v>46</v>
      </c>
      <c r="D32" s="8"/>
      <c r="E32" s="8"/>
      <c r="F32" s="8"/>
    </row>
    <row r="34" customFormat="false" ht="24" hidden="false" customHeight="true" outlineLevel="0" collapsed="false">
      <c r="B34" s="4" t="s">
        <v>47</v>
      </c>
    </row>
    <row r="35" customFormat="false" ht="30" hidden="false" customHeight="true" outlineLevel="0" collapsed="false">
      <c r="B35" s="6" t="s">
        <v>48</v>
      </c>
      <c r="C35" s="6" t="s">
        <v>49</v>
      </c>
      <c r="D35" s="6"/>
      <c r="E35" s="6"/>
      <c r="F35" s="6"/>
    </row>
    <row r="36" customFormat="false" ht="36" hidden="false" customHeight="true" outlineLevel="0" collapsed="false">
      <c r="B36" s="7" t="s">
        <v>50</v>
      </c>
      <c r="C36" s="7" t="s">
        <v>51</v>
      </c>
      <c r="D36" s="8"/>
      <c r="E36" s="8"/>
      <c r="F36" s="8"/>
    </row>
    <row r="37" customFormat="false" ht="36" hidden="false" customHeight="true" outlineLevel="0" collapsed="false">
      <c r="B37" s="9" t="s">
        <v>52</v>
      </c>
      <c r="C37" s="9" t="s">
        <v>53</v>
      </c>
      <c r="D37" s="10"/>
      <c r="E37" s="10"/>
      <c r="F37" s="10"/>
    </row>
    <row r="38" customFormat="false" ht="51" hidden="false" customHeight="true" outlineLevel="0" collapsed="false">
      <c r="B38" s="7" t="s">
        <v>54</v>
      </c>
      <c r="C38" s="7" t="s">
        <v>55</v>
      </c>
      <c r="D38" s="8"/>
      <c r="E38" s="8"/>
      <c r="F38" s="8"/>
    </row>
    <row r="39" customFormat="false" ht="36" hidden="false" customHeight="true" outlineLevel="0" collapsed="false">
      <c r="B39" s="9" t="s">
        <v>56</v>
      </c>
      <c r="C39" s="9" t="s">
        <v>57</v>
      </c>
      <c r="D39" s="10"/>
      <c r="E39" s="10"/>
      <c r="F39" s="10"/>
    </row>
    <row r="40" customFormat="false" ht="36" hidden="false" customHeight="true" outlineLevel="0" collapsed="false">
      <c r="B40" s="7" t="s">
        <v>58</v>
      </c>
      <c r="C40" s="7" t="s">
        <v>59</v>
      </c>
      <c r="D40" s="8"/>
      <c r="E40" s="8"/>
      <c r="F40" s="8"/>
    </row>
    <row r="42" customFormat="false" ht="24" hidden="false" customHeight="true" outlineLevel="0" collapsed="false">
      <c r="B42" s="4" t="s">
        <v>60</v>
      </c>
    </row>
    <row r="43" customFormat="false" ht="30" hidden="false" customHeight="true" outlineLevel="0" collapsed="false">
      <c r="B43" s="6" t="s">
        <v>61</v>
      </c>
      <c r="C43" s="6" t="s">
        <v>49</v>
      </c>
      <c r="D43" s="6"/>
      <c r="E43" s="6"/>
      <c r="F43" s="6"/>
    </row>
    <row r="44" customFormat="false" ht="51" hidden="false" customHeight="true" outlineLevel="0" collapsed="false">
      <c r="B44" s="7" t="s">
        <v>62</v>
      </c>
      <c r="C44" s="7" t="s">
        <v>63</v>
      </c>
      <c r="D44" s="8"/>
      <c r="E44" s="8"/>
      <c r="F44" s="8"/>
    </row>
    <row r="45" customFormat="false" ht="51" hidden="false" customHeight="true" outlineLevel="0" collapsed="false">
      <c r="B45" s="9" t="s">
        <v>64</v>
      </c>
      <c r="C45" s="9" t="s">
        <v>65</v>
      </c>
      <c r="D45" s="10"/>
      <c r="E45" s="10"/>
      <c r="F45" s="10"/>
    </row>
    <row r="46" customFormat="false" ht="51" hidden="false" customHeight="true" outlineLevel="0" collapsed="false">
      <c r="B46" s="7" t="s">
        <v>43</v>
      </c>
      <c r="C46" s="7" t="s">
        <v>66</v>
      </c>
      <c r="D46" s="8"/>
      <c r="E46" s="8"/>
      <c r="F46" s="8"/>
    </row>
    <row r="47" customFormat="false" ht="51" hidden="false" customHeight="true" outlineLevel="0" collapsed="false">
      <c r="B47" s="9" t="s">
        <v>67</v>
      </c>
      <c r="C47" s="9" t="s">
        <v>68</v>
      </c>
      <c r="D47" s="10"/>
      <c r="E47" s="10"/>
      <c r="F47" s="10"/>
    </row>
    <row r="48" customFormat="false" ht="51" hidden="false" customHeight="true" outlineLevel="0" collapsed="false">
      <c r="B48" s="7" t="s">
        <v>69</v>
      </c>
      <c r="C48" s="7" t="s">
        <v>70</v>
      </c>
      <c r="D48" s="8"/>
      <c r="E48" s="8"/>
      <c r="F48" s="8"/>
    </row>
  </sheetData>
  <mergeCells count="3">
    <mergeCell ref="B2:F2"/>
    <mergeCell ref="B3:F3"/>
    <mergeCell ref="B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3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10" min="9" style="1" width="13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71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72</v>
      </c>
    </row>
    <row r="5" customFormat="false" ht="30" hidden="false" customHeight="true" outlineLevel="0" collapsed="false">
      <c r="B5" s="6" t="s">
        <v>73</v>
      </c>
      <c r="C5" s="6" t="s">
        <v>74</v>
      </c>
      <c r="D5" s="6" t="s">
        <v>75</v>
      </c>
      <c r="E5" s="6" t="s">
        <v>76</v>
      </c>
      <c r="F5" s="6" t="s">
        <v>50</v>
      </c>
      <c r="G5" s="6" t="s">
        <v>52</v>
      </c>
      <c r="H5" s="6" t="s">
        <v>54</v>
      </c>
      <c r="I5" s="6" t="s">
        <v>56</v>
      </c>
      <c r="J5" s="6" t="s">
        <v>58</v>
      </c>
    </row>
    <row r="6" customFormat="false" ht="15" hidden="false" customHeight="false" outlineLevel="0" collapsed="false">
      <c r="B6" s="11" t="s">
        <v>77</v>
      </c>
      <c r="C6" s="12" t="n">
        <v>31</v>
      </c>
      <c r="D6" s="12" t="n">
        <v>16</v>
      </c>
      <c r="E6" s="12" t="n">
        <v>2</v>
      </c>
      <c r="F6" s="12" t="n">
        <f aca="false">COUNTIFS('Feature Matrix'!$B$5:$B$107,$B6,'Feature Matrix'!$Q$5:$Q$107,"Not reviewed")</f>
        <v>31</v>
      </c>
      <c r="G6" s="12" t="n">
        <f aca="false">COUNTIFS('Feature Matrix'!$B$5:$B$107,$B6,'Feature Matrix'!$Q$5:$Q$107,"Confirmed")</f>
        <v>0</v>
      </c>
      <c r="H6" s="12" t="n">
        <f aca="false">COUNTIFS('Feature Matrix'!$B$5:$B$107,$B6,'Feature Matrix'!$Q$5:$Q$107,"Correction needed")</f>
        <v>0</v>
      </c>
      <c r="I6" s="12" t="n">
        <f aca="false">COUNTIFS('Feature Matrix'!$B$5:$B$107,$B6,'Feature Matrix'!$Q$5:$Q$107,"Missing detail")</f>
        <v>0</v>
      </c>
      <c r="J6" s="12" t="n">
        <f aca="false">COUNTIFS('Feature Matrix'!$B$5:$B$107,$B6,'Feature Matrix'!$Q$5:$Q$107,"Not a feature")</f>
        <v>0</v>
      </c>
    </row>
    <row r="7" customFormat="false" ht="15" hidden="false" customHeight="false" outlineLevel="0" collapsed="false">
      <c r="B7" s="13" t="s">
        <v>78</v>
      </c>
      <c r="C7" s="14" t="n">
        <v>13</v>
      </c>
      <c r="D7" s="14" t="n">
        <v>11</v>
      </c>
      <c r="E7" s="14" t="n">
        <v>3</v>
      </c>
      <c r="F7" s="14" t="n">
        <f aca="false">COUNTIFS('Feature Matrix'!$B$5:$B$107,$B7,'Feature Matrix'!$Q$5:$Q$107,"Not reviewed")</f>
        <v>13</v>
      </c>
      <c r="G7" s="14" t="n">
        <f aca="false">COUNTIFS('Feature Matrix'!$B$5:$B$107,$B7,'Feature Matrix'!$Q$5:$Q$107,"Confirmed")</f>
        <v>0</v>
      </c>
      <c r="H7" s="14" t="n">
        <f aca="false">COUNTIFS('Feature Matrix'!$B$5:$B$107,$B7,'Feature Matrix'!$Q$5:$Q$107,"Correction needed")</f>
        <v>0</v>
      </c>
      <c r="I7" s="14" t="n">
        <f aca="false">COUNTIFS('Feature Matrix'!$B$5:$B$107,$B7,'Feature Matrix'!$Q$5:$Q$107,"Missing detail")</f>
        <v>0</v>
      </c>
      <c r="J7" s="14" t="n">
        <f aca="false">COUNTIFS('Feature Matrix'!$B$5:$B$107,$B7,'Feature Matrix'!$Q$5:$Q$107,"Not a feature")</f>
        <v>0</v>
      </c>
    </row>
    <row r="8" customFormat="false" ht="15" hidden="false" customHeight="false" outlineLevel="0" collapsed="false">
      <c r="B8" s="11" t="s">
        <v>79</v>
      </c>
      <c r="C8" s="12" t="n">
        <v>10</v>
      </c>
      <c r="D8" s="12" t="n">
        <v>10</v>
      </c>
      <c r="E8" s="12" t="n">
        <v>9</v>
      </c>
      <c r="F8" s="12" t="n">
        <f aca="false">COUNTIFS('Feature Matrix'!$B$5:$B$107,$B8,'Feature Matrix'!$Q$5:$Q$107,"Not reviewed")</f>
        <v>10</v>
      </c>
      <c r="G8" s="12" t="n">
        <f aca="false">COUNTIFS('Feature Matrix'!$B$5:$B$107,$B8,'Feature Matrix'!$Q$5:$Q$107,"Confirmed")</f>
        <v>0</v>
      </c>
      <c r="H8" s="12" t="n">
        <f aca="false">COUNTIFS('Feature Matrix'!$B$5:$B$107,$B8,'Feature Matrix'!$Q$5:$Q$107,"Correction needed")</f>
        <v>0</v>
      </c>
      <c r="I8" s="12" t="n">
        <f aca="false">COUNTIFS('Feature Matrix'!$B$5:$B$107,$B8,'Feature Matrix'!$Q$5:$Q$107,"Missing detail")</f>
        <v>0</v>
      </c>
      <c r="J8" s="12" t="n">
        <f aca="false">COUNTIFS('Feature Matrix'!$B$5:$B$107,$B8,'Feature Matrix'!$Q$5:$Q$107,"Not a feature")</f>
        <v>0</v>
      </c>
    </row>
    <row r="9" customFormat="false" ht="15" hidden="false" customHeight="false" outlineLevel="0" collapsed="false">
      <c r="B9" s="13" t="s">
        <v>80</v>
      </c>
      <c r="C9" s="14" t="n">
        <v>6</v>
      </c>
      <c r="D9" s="14" t="n">
        <v>6</v>
      </c>
      <c r="E9" s="14" t="n">
        <v>5</v>
      </c>
      <c r="F9" s="14" t="n">
        <f aca="false">COUNTIFS('Feature Matrix'!$B$5:$B$107,$B9,'Feature Matrix'!$Q$5:$Q$107,"Not reviewed")</f>
        <v>6</v>
      </c>
      <c r="G9" s="14" t="n">
        <f aca="false">COUNTIFS('Feature Matrix'!$B$5:$B$107,$B9,'Feature Matrix'!$Q$5:$Q$107,"Confirmed")</f>
        <v>0</v>
      </c>
      <c r="H9" s="14" t="n">
        <f aca="false">COUNTIFS('Feature Matrix'!$B$5:$B$107,$B9,'Feature Matrix'!$Q$5:$Q$107,"Correction needed")</f>
        <v>0</v>
      </c>
      <c r="I9" s="14" t="n">
        <f aca="false">COUNTIFS('Feature Matrix'!$B$5:$B$107,$B9,'Feature Matrix'!$Q$5:$Q$107,"Missing detail")</f>
        <v>0</v>
      </c>
      <c r="J9" s="14" t="n">
        <f aca="false">COUNTIFS('Feature Matrix'!$B$5:$B$107,$B9,'Feature Matrix'!$Q$5:$Q$107,"Not a feature")</f>
        <v>0</v>
      </c>
    </row>
    <row r="10" customFormat="false" ht="15" hidden="false" customHeight="false" outlineLevel="0" collapsed="false">
      <c r="B10" s="11" t="s">
        <v>81</v>
      </c>
      <c r="C10" s="12" t="n">
        <v>17</v>
      </c>
      <c r="D10" s="12" t="n">
        <v>14</v>
      </c>
      <c r="E10" s="12" t="n">
        <v>4</v>
      </c>
      <c r="F10" s="12" t="n">
        <f aca="false">COUNTIFS('Feature Matrix'!$B$5:$B$107,$B10,'Feature Matrix'!$Q$5:$Q$107,"Not reviewed")</f>
        <v>17</v>
      </c>
      <c r="G10" s="12" t="n">
        <f aca="false">COUNTIFS('Feature Matrix'!$B$5:$B$107,$B10,'Feature Matrix'!$Q$5:$Q$107,"Confirmed")</f>
        <v>0</v>
      </c>
      <c r="H10" s="12" t="n">
        <f aca="false">COUNTIFS('Feature Matrix'!$B$5:$B$107,$B10,'Feature Matrix'!$Q$5:$Q$107,"Correction needed")</f>
        <v>0</v>
      </c>
      <c r="I10" s="12" t="n">
        <f aca="false">COUNTIFS('Feature Matrix'!$B$5:$B$107,$B10,'Feature Matrix'!$Q$5:$Q$107,"Missing detail")</f>
        <v>0</v>
      </c>
      <c r="J10" s="12" t="n">
        <f aca="false">COUNTIFS('Feature Matrix'!$B$5:$B$107,$B10,'Feature Matrix'!$Q$5:$Q$107,"Not a feature")</f>
        <v>0</v>
      </c>
    </row>
    <row r="11" customFormat="false" ht="15" hidden="false" customHeight="false" outlineLevel="0" collapsed="false">
      <c r="B11" s="13" t="s">
        <v>82</v>
      </c>
      <c r="C11" s="14" t="n">
        <v>26</v>
      </c>
      <c r="D11" s="14" t="n">
        <v>19</v>
      </c>
      <c r="E11" s="14" t="n">
        <v>0</v>
      </c>
      <c r="F11" s="14" t="n">
        <f aca="false">COUNTIFS('Feature Matrix'!$B$5:$B$107,$B11,'Feature Matrix'!$Q$5:$Q$107,"Not reviewed")</f>
        <v>26</v>
      </c>
      <c r="G11" s="14" t="n">
        <f aca="false">COUNTIFS('Feature Matrix'!$B$5:$B$107,$B11,'Feature Matrix'!$Q$5:$Q$107,"Confirmed")</f>
        <v>0</v>
      </c>
      <c r="H11" s="14" t="n">
        <f aca="false">COUNTIFS('Feature Matrix'!$B$5:$B$107,$B11,'Feature Matrix'!$Q$5:$Q$107,"Correction needed")</f>
        <v>0</v>
      </c>
      <c r="I11" s="14" t="n">
        <f aca="false">COUNTIFS('Feature Matrix'!$B$5:$B$107,$B11,'Feature Matrix'!$Q$5:$Q$107,"Missing detail")</f>
        <v>0</v>
      </c>
      <c r="J11" s="14" t="n">
        <f aca="false">COUNTIFS('Feature Matrix'!$B$5:$B$107,$B11,'Feature Matrix'!$Q$5:$Q$107,"Not a feature")</f>
        <v>0</v>
      </c>
    </row>
    <row r="12" customFormat="false" ht="15" hidden="false" customHeight="false" outlineLevel="0" collapsed="false">
      <c r="B12" s="15" t="s">
        <v>83</v>
      </c>
      <c r="C12" s="16" t="n">
        <f aca="false">SUM(C6:C11)</f>
        <v>103</v>
      </c>
      <c r="D12" s="16" t="n">
        <f aca="false">SUM(D6:D11)</f>
        <v>76</v>
      </c>
      <c r="E12" s="16" t="n">
        <f aca="false">SUM(E6:E11)</f>
        <v>23</v>
      </c>
      <c r="F12" s="16" t="n">
        <f aca="false">SUM(F6:F11)</f>
        <v>103</v>
      </c>
      <c r="G12" s="16" t="n">
        <f aca="false">SUM(G6:G11)</f>
        <v>0</v>
      </c>
      <c r="H12" s="16" t="n">
        <f aca="false">SUM(H6:H11)</f>
        <v>0</v>
      </c>
      <c r="I12" s="16" t="n">
        <f aca="false">SUM(I6:I11)</f>
        <v>0</v>
      </c>
      <c r="J12" s="16" t="n">
        <f aca="false">SUM(J6:J11)</f>
        <v>0</v>
      </c>
    </row>
    <row r="15" customFormat="false" ht="21.75" hidden="false" customHeight="true" outlineLevel="0" collapsed="false">
      <c r="B15" s="4" t="s">
        <v>84</v>
      </c>
    </row>
    <row r="16" customFormat="false" ht="30" hidden="false" customHeight="true" outlineLevel="0" collapsed="false">
      <c r="B16" s="6" t="s">
        <v>85</v>
      </c>
      <c r="C16" s="6" t="s">
        <v>86</v>
      </c>
      <c r="D16" s="6" t="s">
        <v>87</v>
      </c>
      <c r="E16" s="6" t="s">
        <v>88</v>
      </c>
      <c r="F16" s="6" t="s">
        <v>89</v>
      </c>
      <c r="G16" s="6" t="s">
        <v>90</v>
      </c>
      <c r="H16" s="6" t="s">
        <v>91</v>
      </c>
    </row>
    <row r="17" customFormat="false" ht="15" hidden="false" customHeight="false" outlineLevel="0" collapsed="false">
      <c r="B17" s="11" t="s">
        <v>92</v>
      </c>
      <c r="C17" s="12" t="n">
        <v>10</v>
      </c>
      <c r="D17" s="11" t="s">
        <v>93</v>
      </c>
      <c r="E17" s="12" t="n">
        <f aca="false">COUNTIFS('Open Queries'!$C$5:$C$79,$B17,'Open Queries'!$H$5:$H$79,"Open")</f>
        <v>10</v>
      </c>
      <c r="F17" s="12" t="n">
        <f aca="false">COUNTIFS('Open Queries'!$C$5:$C$79,$B17,'Open Queries'!$H$5:$H$79,"Answered - accepted")</f>
        <v>0</v>
      </c>
      <c r="G17" s="12" t="n">
        <f aca="false">COUNTIFS('Open Queries'!$C$5:$C$79,$B17,'Open Queries'!$H$5:$H$79,"Answered - disputed")</f>
        <v>0</v>
      </c>
      <c r="H17" s="12" t="n">
        <f aca="false">COUNTIFS('Open Queries'!$C$5:$C$79,$B17,'Open Queries'!$H$5:$H$79,"N/A")</f>
        <v>0</v>
      </c>
    </row>
    <row r="18" customFormat="false" ht="15" hidden="false" customHeight="false" outlineLevel="0" collapsed="false">
      <c r="B18" s="13" t="s">
        <v>94</v>
      </c>
      <c r="C18" s="14" t="n">
        <v>15</v>
      </c>
      <c r="D18" s="13" t="s">
        <v>95</v>
      </c>
      <c r="E18" s="14" t="n">
        <f aca="false">COUNTIFS('Open Queries'!$C$5:$C$79,$B18,'Open Queries'!$H$5:$H$79,"Open")</f>
        <v>15</v>
      </c>
      <c r="F18" s="14" t="n">
        <f aca="false">COUNTIFS('Open Queries'!$C$5:$C$79,$B18,'Open Queries'!$H$5:$H$79,"Answered - accepted")</f>
        <v>0</v>
      </c>
      <c r="G18" s="14" t="n">
        <f aca="false">COUNTIFS('Open Queries'!$C$5:$C$79,$B18,'Open Queries'!$H$5:$H$79,"Answered - disputed")</f>
        <v>0</v>
      </c>
      <c r="H18" s="14" t="n">
        <f aca="false">COUNTIFS('Open Queries'!$C$5:$C$79,$B18,'Open Queries'!$H$5:$H$79,"N/A")</f>
        <v>0</v>
      </c>
    </row>
    <row r="19" customFormat="false" ht="15" hidden="false" customHeight="false" outlineLevel="0" collapsed="false">
      <c r="B19" s="11" t="s">
        <v>96</v>
      </c>
      <c r="C19" s="12" t="n">
        <v>27</v>
      </c>
      <c r="D19" s="11" t="s">
        <v>97</v>
      </c>
      <c r="E19" s="12" t="n">
        <f aca="false">COUNTIFS('Open Queries'!$C$5:$C$79,$B19,'Open Queries'!$H$5:$H$79,"Open")</f>
        <v>27</v>
      </c>
      <c r="F19" s="12" t="n">
        <f aca="false">COUNTIFS('Open Queries'!$C$5:$C$79,$B19,'Open Queries'!$H$5:$H$79,"Answered - accepted")</f>
        <v>0</v>
      </c>
      <c r="G19" s="12" t="n">
        <f aca="false">COUNTIFS('Open Queries'!$C$5:$C$79,$B19,'Open Queries'!$H$5:$H$79,"Answered - disputed")</f>
        <v>0</v>
      </c>
      <c r="H19" s="12" t="n">
        <f aca="false">COUNTIFS('Open Queries'!$C$5:$C$79,$B19,'Open Queries'!$H$5:$H$79,"N/A")</f>
        <v>0</v>
      </c>
    </row>
    <row r="20" customFormat="false" ht="15" hidden="false" customHeight="false" outlineLevel="0" collapsed="false">
      <c r="B20" s="13" t="s">
        <v>98</v>
      </c>
      <c r="C20" s="14" t="n">
        <v>23</v>
      </c>
      <c r="D20" s="13" t="s">
        <v>99</v>
      </c>
      <c r="E20" s="14" t="n">
        <f aca="false">COUNTIFS('Open Queries'!$C$5:$C$79,$B20,'Open Queries'!$H$5:$H$79,"Open")</f>
        <v>23</v>
      </c>
      <c r="F20" s="14" t="n">
        <f aca="false">COUNTIFS('Open Queries'!$C$5:$C$79,$B20,'Open Queries'!$H$5:$H$79,"Answered - accepted")</f>
        <v>0</v>
      </c>
      <c r="G20" s="14" t="n">
        <f aca="false">COUNTIFS('Open Queries'!$C$5:$C$79,$B20,'Open Queries'!$H$5:$H$79,"Answered - disputed")</f>
        <v>0</v>
      </c>
      <c r="H20" s="14" t="n">
        <f aca="false">COUNTIFS('Open Queries'!$C$5:$C$79,$B20,'Open Queries'!$H$5:$H$79,"N/A")</f>
        <v>0</v>
      </c>
    </row>
    <row r="21" customFormat="false" ht="15" hidden="false" customHeight="false" outlineLevel="0" collapsed="false">
      <c r="B21" s="15" t="s">
        <v>83</v>
      </c>
      <c r="C21" s="16" t="n">
        <f aca="false">SUM(C17:C20)</f>
        <v>75</v>
      </c>
      <c r="D21" s="15"/>
      <c r="E21" s="16" t="n">
        <f aca="false">SUM(E17:E20)</f>
        <v>75</v>
      </c>
      <c r="F21" s="16" t="n">
        <f aca="false">SUM(F17:F20)</f>
        <v>0</v>
      </c>
      <c r="G21" s="16" t="n">
        <f aca="false">SUM(G17:G20)</f>
        <v>0</v>
      </c>
      <c r="H21" s="16" t="n">
        <f aca="false">SUM(H17:H20)</f>
        <v>0</v>
      </c>
    </row>
    <row r="24" customFormat="false" ht="21.75" hidden="false" customHeight="true" outlineLevel="0" collapsed="false">
      <c r="B24" s="4" t="s">
        <v>100</v>
      </c>
    </row>
    <row r="25" customFormat="false" ht="30" hidden="false" customHeight="true" outlineLevel="0" collapsed="false">
      <c r="B25" s="6" t="s">
        <v>101</v>
      </c>
      <c r="C25" s="6" t="s">
        <v>74</v>
      </c>
    </row>
    <row r="26" customFormat="false" ht="15" hidden="false" customHeight="false" outlineLevel="0" collapsed="false">
      <c r="B26" s="17" t="s">
        <v>102</v>
      </c>
      <c r="C26" s="18" t="n">
        <v>64</v>
      </c>
    </row>
    <row r="27" customFormat="false" ht="15" hidden="false" customHeight="false" outlineLevel="0" collapsed="false">
      <c r="B27" s="19" t="s">
        <v>103</v>
      </c>
      <c r="C27" s="20" t="n">
        <v>32</v>
      </c>
    </row>
    <row r="28" customFormat="false" ht="15" hidden="false" customHeight="false" outlineLevel="0" collapsed="false">
      <c r="B28" s="17" t="s">
        <v>104</v>
      </c>
      <c r="C28" s="18" t="n">
        <v>7</v>
      </c>
    </row>
    <row r="29" customFormat="false" ht="15" hidden="false" customHeight="false" outlineLevel="0" collapsed="false">
      <c r="B29" s="19" t="s">
        <v>105</v>
      </c>
      <c r="C29" s="20" t="n">
        <v>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R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24"/>
    <col collapsed="false" customWidth="true" hidden="false" outlineLevel="0" max="6" min="6" style="1" width="46"/>
    <col collapsed="false" customWidth="true" hidden="false" outlineLevel="0" max="7" min="7" style="1" width="3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30"/>
    <col collapsed="false" customWidth="true" hidden="false" outlineLevel="0" max="13" min="11" style="1" width="14"/>
    <col collapsed="false" customWidth="true" hidden="false" outlineLevel="0" max="14" min="14" style="1" width="10"/>
    <col collapsed="false" customWidth="true" hidden="false" outlineLevel="0" max="15" min="15" style="1" width="16"/>
    <col collapsed="false" customWidth="true" hidden="false" outlineLevel="0" max="16" min="16" style="1" width="34"/>
    <col collapsed="false" customWidth="true" hidden="false" outlineLevel="0" max="17" min="17" style="1" width="15"/>
    <col collapsed="false" customWidth="true" hidden="false" outlineLevel="0" max="18" min="18" style="1" width="3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1" t="s">
        <v>106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customFormat="false" ht="13.5" hidden="false" customHeight="true" outlineLevel="0" collapsed="false">
      <c r="B3" s="22" t="s">
        <v>107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customFormat="false" ht="30" hidden="false" customHeight="true" outlineLevel="0" collapsed="false">
      <c r="B4" s="6" t="s">
        <v>73</v>
      </c>
      <c r="C4" s="6" t="s">
        <v>62</v>
      </c>
      <c r="D4" s="6" t="s">
        <v>108</v>
      </c>
      <c r="E4" s="6" t="s">
        <v>109</v>
      </c>
      <c r="F4" s="6" t="s">
        <v>110</v>
      </c>
      <c r="G4" s="6" t="s">
        <v>111</v>
      </c>
      <c r="H4" s="6" t="s">
        <v>112</v>
      </c>
      <c r="I4" s="6" t="s">
        <v>113</v>
      </c>
      <c r="J4" s="6" t="s">
        <v>114</v>
      </c>
      <c r="K4" s="6" t="s">
        <v>115</v>
      </c>
      <c r="L4" s="6" t="s">
        <v>116</v>
      </c>
      <c r="M4" s="6" t="s">
        <v>43</v>
      </c>
      <c r="N4" s="6" t="s">
        <v>64</v>
      </c>
      <c r="O4" s="6" t="s">
        <v>67</v>
      </c>
      <c r="P4" s="6" t="s">
        <v>117</v>
      </c>
      <c r="Q4" s="6" t="s">
        <v>118</v>
      </c>
      <c r="R4" s="6" t="s">
        <v>119</v>
      </c>
    </row>
    <row r="5" customFormat="false" ht="94.5" hidden="false" customHeight="true" outlineLevel="0" collapsed="false">
      <c r="B5" s="23" t="s">
        <v>77</v>
      </c>
      <c r="C5" s="23" t="s">
        <v>120</v>
      </c>
      <c r="D5" s="24" t="s">
        <v>121</v>
      </c>
      <c r="E5" s="25" t="s">
        <v>122</v>
      </c>
      <c r="F5" s="25" t="s">
        <v>123</v>
      </c>
      <c r="G5" s="25" t="s">
        <v>124</v>
      </c>
      <c r="H5" s="25" t="s">
        <v>125</v>
      </c>
      <c r="I5" s="26" t="n">
        <v>1</v>
      </c>
      <c r="J5" s="25" t="s">
        <v>126</v>
      </c>
      <c r="K5" s="25" t="s">
        <v>127</v>
      </c>
      <c r="L5" s="25" t="s">
        <v>128</v>
      </c>
      <c r="M5" s="25" t="s">
        <v>129</v>
      </c>
      <c r="N5" s="23" t="s">
        <v>129</v>
      </c>
      <c r="O5" s="23" t="s">
        <v>102</v>
      </c>
      <c r="P5" s="25" t="s">
        <v>130</v>
      </c>
      <c r="Q5" s="23" t="s">
        <v>50</v>
      </c>
      <c r="R5" s="25"/>
    </row>
    <row r="6" customFormat="false" ht="123" hidden="false" customHeight="true" outlineLevel="0" collapsed="false">
      <c r="B6" s="27" t="s">
        <v>77</v>
      </c>
      <c r="C6" s="27" t="s">
        <v>120</v>
      </c>
      <c r="D6" s="28" t="s">
        <v>131</v>
      </c>
      <c r="E6" s="7" t="s">
        <v>132</v>
      </c>
      <c r="F6" s="7" t="s">
        <v>133</v>
      </c>
      <c r="G6" s="7" t="s">
        <v>134</v>
      </c>
      <c r="H6" s="7" t="s">
        <v>125</v>
      </c>
      <c r="I6" s="29" t="n">
        <v>5</v>
      </c>
      <c r="J6" s="7" t="s">
        <v>135</v>
      </c>
      <c r="K6" s="7" t="s">
        <v>136</v>
      </c>
      <c r="L6" s="7" t="s">
        <v>137</v>
      </c>
      <c r="M6" s="7" t="s">
        <v>129</v>
      </c>
      <c r="N6" s="27" t="s">
        <v>129</v>
      </c>
      <c r="O6" s="27" t="s">
        <v>102</v>
      </c>
      <c r="P6" s="7" t="s">
        <v>138</v>
      </c>
      <c r="Q6" s="27" t="s">
        <v>50</v>
      </c>
      <c r="R6" s="7"/>
    </row>
    <row r="7" customFormat="false" ht="51" hidden="false" customHeight="true" outlineLevel="0" collapsed="false">
      <c r="B7" s="30" t="s">
        <v>77</v>
      </c>
      <c r="C7" s="30" t="s">
        <v>120</v>
      </c>
      <c r="D7" s="31" t="s">
        <v>139</v>
      </c>
      <c r="E7" s="9" t="s">
        <v>140</v>
      </c>
      <c r="F7" s="9" t="s">
        <v>141</v>
      </c>
      <c r="G7" s="9" t="s">
        <v>142</v>
      </c>
      <c r="H7" s="9" t="s">
        <v>125</v>
      </c>
      <c r="I7" s="32" t="n">
        <v>3</v>
      </c>
      <c r="J7" s="9" t="s">
        <v>143</v>
      </c>
      <c r="K7" s="9" t="s">
        <v>131</v>
      </c>
      <c r="L7" s="9" t="s">
        <v>144</v>
      </c>
      <c r="M7" s="9" t="s">
        <v>145</v>
      </c>
      <c r="N7" s="30" t="s">
        <v>129</v>
      </c>
      <c r="O7" s="30" t="s">
        <v>102</v>
      </c>
      <c r="P7" s="9" t="s">
        <v>146</v>
      </c>
      <c r="Q7" s="30" t="s">
        <v>50</v>
      </c>
      <c r="R7" s="9"/>
    </row>
    <row r="8" customFormat="false" ht="36" hidden="false" customHeight="true" outlineLevel="0" collapsed="false">
      <c r="B8" s="27" t="s">
        <v>77</v>
      </c>
      <c r="C8" s="27" t="s">
        <v>120</v>
      </c>
      <c r="D8" s="28" t="s">
        <v>147</v>
      </c>
      <c r="E8" s="7" t="s">
        <v>148</v>
      </c>
      <c r="F8" s="7" t="s">
        <v>149</v>
      </c>
      <c r="G8" s="7" t="s">
        <v>150</v>
      </c>
      <c r="H8" s="7" t="s">
        <v>125</v>
      </c>
      <c r="I8" s="29" t="n">
        <v>7</v>
      </c>
      <c r="J8" s="7" t="s">
        <v>151</v>
      </c>
      <c r="K8" s="7" t="s">
        <v>131</v>
      </c>
      <c r="L8" s="7" t="s">
        <v>152</v>
      </c>
      <c r="M8" s="7" t="s">
        <v>153</v>
      </c>
      <c r="N8" s="27" t="s">
        <v>129</v>
      </c>
      <c r="O8" s="27" t="s">
        <v>102</v>
      </c>
      <c r="P8" s="7" t="s">
        <v>154</v>
      </c>
      <c r="Q8" s="27" t="s">
        <v>50</v>
      </c>
      <c r="R8" s="7"/>
    </row>
    <row r="9" customFormat="false" ht="65.25" hidden="false" customHeight="true" outlineLevel="0" collapsed="false">
      <c r="B9" s="30" t="s">
        <v>77</v>
      </c>
      <c r="C9" s="30" t="s">
        <v>155</v>
      </c>
      <c r="D9" s="31" t="s">
        <v>156</v>
      </c>
      <c r="E9" s="9" t="s">
        <v>157</v>
      </c>
      <c r="F9" s="9" t="s">
        <v>158</v>
      </c>
      <c r="G9" s="9" t="s">
        <v>159</v>
      </c>
      <c r="H9" s="9" t="s">
        <v>125</v>
      </c>
      <c r="I9" s="32" t="n">
        <v>8</v>
      </c>
      <c r="J9" s="9" t="s">
        <v>160</v>
      </c>
      <c r="K9" s="9" t="s">
        <v>161</v>
      </c>
      <c r="L9" s="9" t="s">
        <v>162</v>
      </c>
      <c r="M9" s="9" t="s">
        <v>129</v>
      </c>
      <c r="N9" s="30" t="s">
        <v>129</v>
      </c>
      <c r="O9" s="30" t="s">
        <v>102</v>
      </c>
      <c r="P9" s="9" t="s">
        <v>163</v>
      </c>
      <c r="Q9" s="30" t="s">
        <v>50</v>
      </c>
      <c r="R9" s="9"/>
    </row>
    <row r="10" customFormat="false" ht="65.25" hidden="false" customHeight="true" outlineLevel="0" collapsed="false">
      <c r="B10" s="27" t="s">
        <v>77</v>
      </c>
      <c r="C10" s="27" t="s">
        <v>155</v>
      </c>
      <c r="D10" s="28" t="s">
        <v>164</v>
      </c>
      <c r="E10" s="7" t="s">
        <v>165</v>
      </c>
      <c r="F10" s="7" t="s">
        <v>166</v>
      </c>
      <c r="G10" s="7" t="s">
        <v>167</v>
      </c>
      <c r="H10" s="7" t="s">
        <v>125</v>
      </c>
      <c r="I10" s="29" t="n">
        <v>9</v>
      </c>
      <c r="J10" s="7" t="s">
        <v>168</v>
      </c>
      <c r="K10" s="7" t="s">
        <v>169</v>
      </c>
      <c r="L10" s="7" t="s">
        <v>170</v>
      </c>
      <c r="M10" s="7" t="s">
        <v>129</v>
      </c>
      <c r="N10" s="27" t="s">
        <v>129</v>
      </c>
      <c r="O10" s="27" t="s">
        <v>102</v>
      </c>
      <c r="P10" s="7" t="s">
        <v>171</v>
      </c>
      <c r="Q10" s="27" t="s">
        <v>50</v>
      </c>
      <c r="R10" s="7"/>
    </row>
    <row r="11" customFormat="false" ht="94.5" hidden="false" customHeight="true" outlineLevel="0" collapsed="false">
      <c r="B11" s="30" t="s">
        <v>77</v>
      </c>
      <c r="C11" s="30" t="s">
        <v>120</v>
      </c>
      <c r="D11" s="31" t="s">
        <v>172</v>
      </c>
      <c r="E11" s="9" t="s">
        <v>173</v>
      </c>
      <c r="F11" s="9" t="s">
        <v>174</v>
      </c>
      <c r="G11" s="9" t="s">
        <v>175</v>
      </c>
      <c r="H11" s="9" t="s">
        <v>125</v>
      </c>
      <c r="I11" s="32" t="n">
        <v>8</v>
      </c>
      <c r="J11" s="9" t="s">
        <v>176</v>
      </c>
      <c r="K11" s="9" t="s">
        <v>177</v>
      </c>
      <c r="L11" s="9" t="s">
        <v>178</v>
      </c>
      <c r="M11" s="9" t="s">
        <v>129</v>
      </c>
      <c r="N11" s="30" t="s">
        <v>129</v>
      </c>
      <c r="O11" s="30" t="s">
        <v>102</v>
      </c>
      <c r="P11" s="9" t="s">
        <v>179</v>
      </c>
      <c r="Q11" s="30" t="s">
        <v>50</v>
      </c>
      <c r="R11" s="9"/>
    </row>
    <row r="12" customFormat="false" ht="65.25" hidden="false" customHeight="true" outlineLevel="0" collapsed="false">
      <c r="B12" s="27" t="s">
        <v>77</v>
      </c>
      <c r="C12" s="27" t="s">
        <v>120</v>
      </c>
      <c r="D12" s="28" t="s">
        <v>180</v>
      </c>
      <c r="E12" s="7" t="s">
        <v>181</v>
      </c>
      <c r="F12" s="7" t="s">
        <v>182</v>
      </c>
      <c r="G12" s="7" t="s">
        <v>183</v>
      </c>
      <c r="H12" s="7" t="s">
        <v>125</v>
      </c>
      <c r="I12" s="29" t="n">
        <v>2</v>
      </c>
      <c r="J12" s="7" t="s">
        <v>184</v>
      </c>
      <c r="K12" s="7" t="s">
        <v>185</v>
      </c>
      <c r="L12" s="7" t="s">
        <v>186</v>
      </c>
      <c r="M12" s="7" t="s">
        <v>129</v>
      </c>
      <c r="N12" s="27" t="s">
        <v>129</v>
      </c>
      <c r="O12" s="27" t="s">
        <v>102</v>
      </c>
      <c r="P12" s="7" t="s">
        <v>187</v>
      </c>
      <c r="Q12" s="27" t="s">
        <v>50</v>
      </c>
      <c r="R12" s="7"/>
    </row>
    <row r="13" customFormat="false" ht="79.5" hidden="false" customHeight="true" outlineLevel="0" collapsed="false">
      <c r="B13" s="30" t="s">
        <v>77</v>
      </c>
      <c r="C13" s="30" t="s">
        <v>188</v>
      </c>
      <c r="D13" s="31" t="s">
        <v>189</v>
      </c>
      <c r="E13" s="9" t="s">
        <v>190</v>
      </c>
      <c r="F13" s="9" t="s">
        <v>191</v>
      </c>
      <c r="G13" s="9" t="s">
        <v>192</v>
      </c>
      <c r="H13" s="9" t="s">
        <v>125</v>
      </c>
      <c r="I13" s="32" t="n">
        <v>5</v>
      </c>
      <c r="J13" s="9" t="s">
        <v>193</v>
      </c>
      <c r="K13" s="9" t="s">
        <v>194</v>
      </c>
      <c r="L13" s="9" t="s">
        <v>195</v>
      </c>
      <c r="M13" s="9" t="s">
        <v>129</v>
      </c>
      <c r="N13" s="30" t="s">
        <v>129</v>
      </c>
      <c r="O13" s="30" t="s">
        <v>102</v>
      </c>
      <c r="P13" s="9" t="s">
        <v>196</v>
      </c>
      <c r="Q13" s="30" t="s">
        <v>50</v>
      </c>
      <c r="R13" s="9"/>
    </row>
    <row r="14" customFormat="false" ht="79.5" hidden="false" customHeight="true" outlineLevel="0" collapsed="false">
      <c r="B14" s="27" t="s">
        <v>77</v>
      </c>
      <c r="C14" s="27" t="s">
        <v>155</v>
      </c>
      <c r="D14" s="28" t="s">
        <v>197</v>
      </c>
      <c r="E14" s="7" t="s">
        <v>198</v>
      </c>
      <c r="F14" s="7" t="s">
        <v>199</v>
      </c>
      <c r="G14" s="7" t="s">
        <v>200</v>
      </c>
      <c r="H14" s="7" t="s">
        <v>201</v>
      </c>
      <c r="I14" s="29" t="n">
        <v>4</v>
      </c>
      <c r="J14" s="7" t="s">
        <v>202</v>
      </c>
      <c r="K14" s="7" t="s">
        <v>203</v>
      </c>
      <c r="L14" s="7" t="s">
        <v>204</v>
      </c>
      <c r="M14" s="7" t="s">
        <v>129</v>
      </c>
      <c r="N14" s="27" t="s">
        <v>129</v>
      </c>
      <c r="O14" s="27" t="s">
        <v>102</v>
      </c>
      <c r="P14" s="7" t="s">
        <v>205</v>
      </c>
      <c r="Q14" s="27" t="s">
        <v>50</v>
      </c>
      <c r="R14" s="7"/>
    </row>
    <row r="15" customFormat="false" ht="108.75" hidden="false" customHeight="true" outlineLevel="0" collapsed="false">
      <c r="B15" s="30" t="s">
        <v>77</v>
      </c>
      <c r="C15" s="30" t="s">
        <v>206</v>
      </c>
      <c r="D15" s="31" t="s">
        <v>207</v>
      </c>
      <c r="E15" s="9" t="s">
        <v>208</v>
      </c>
      <c r="F15" s="9" t="s">
        <v>209</v>
      </c>
      <c r="G15" s="9" t="s">
        <v>210</v>
      </c>
      <c r="H15" s="9" t="s">
        <v>201</v>
      </c>
      <c r="I15" s="32" t="n">
        <v>5</v>
      </c>
      <c r="J15" s="9" t="s">
        <v>211</v>
      </c>
      <c r="K15" s="9" t="s">
        <v>203</v>
      </c>
      <c r="L15" s="9" t="s">
        <v>212</v>
      </c>
      <c r="M15" s="9" t="s">
        <v>213</v>
      </c>
      <c r="N15" s="30" t="s">
        <v>129</v>
      </c>
      <c r="O15" s="30" t="s">
        <v>102</v>
      </c>
      <c r="P15" s="9" t="s">
        <v>214</v>
      </c>
      <c r="Q15" s="30" t="s">
        <v>50</v>
      </c>
      <c r="R15" s="9"/>
    </row>
    <row r="16" customFormat="false" ht="65.25" hidden="false" customHeight="true" outlineLevel="0" collapsed="false">
      <c r="B16" s="27" t="s">
        <v>77</v>
      </c>
      <c r="C16" s="27" t="s">
        <v>206</v>
      </c>
      <c r="D16" s="28" t="s">
        <v>215</v>
      </c>
      <c r="E16" s="7" t="s">
        <v>216</v>
      </c>
      <c r="F16" s="7" t="s">
        <v>217</v>
      </c>
      <c r="G16" s="7" t="s">
        <v>218</v>
      </c>
      <c r="H16" s="7" t="s">
        <v>219</v>
      </c>
      <c r="I16" s="29" t="n">
        <v>9</v>
      </c>
      <c r="J16" s="7" t="s">
        <v>211</v>
      </c>
      <c r="K16" s="7" t="s">
        <v>220</v>
      </c>
      <c r="L16" s="7" t="s">
        <v>221</v>
      </c>
      <c r="M16" s="7" t="s">
        <v>129</v>
      </c>
      <c r="N16" s="27" t="s">
        <v>129</v>
      </c>
      <c r="O16" s="27" t="s">
        <v>103</v>
      </c>
      <c r="P16" s="7" t="s">
        <v>222</v>
      </c>
      <c r="Q16" s="27" t="s">
        <v>50</v>
      </c>
      <c r="R16" s="7"/>
    </row>
    <row r="17" customFormat="false" ht="94.5" hidden="false" customHeight="true" outlineLevel="0" collapsed="false">
      <c r="B17" s="30" t="s">
        <v>77</v>
      </c>
      <c r="C17" s="30" t="s">
        <v>206</v>
      </c>
      <c r="D17" s="31" t="s">
        <v>223</v>
      </c>
      <c r="E17" s="9" t="s">
        <v>224</v>
      </c>
      <c r="F17" s="9" t="s">
        <v>225</v>
      </c>
      <c r="G17" s="9" t="s">
        <v>226</v>
      </c>
      <c r="H17" s="9" t="s">
        <v>125</v>
      </c>
      <c r="I17" s="32" t="n">
        <v>8</v>
      </c>
      <c r="J17" s="9" t="s">
        <v>227</v>
      </c>
      <c r="K17" s="9" t="s">
        <v>228</v>
      </c>
      <c r="L17" s="9" t="s">
        <v>229</v>
      </c>
      <c r="M17" s="9" t="s">
        <v>230</v>
      </c>
      <c r="N17" s="30" t="s">
        <v>129</v>
      </c>
      <c r="O17" s="30" t="s">
        <v>102</v>
      </c>
      <c r="P17" s="9" t="s">
        <v>231</v>
      </c>
      <c r="Q17" s="30" t="s">
        <v>50</v>
      </c>
      <c r="R17" s="9"/>
    </row>
    <row r="18" customFormat="false" ht="65.25" hidden="false" customHeight="true" outlineLevel="0" collapsed="false">
      <c r="B18" s="27" t="s">
        <v>77</v>
      </c>
      <c r="C18" s="27" t="s">
        <v>232</v>
      </c>
      <c r="D18" s="28" t="s">
        <v>233</v>
      </c>
      <c r="E18" s="7" t="s">
        <v>234</v>
      </c>
      <c r="F18" s="7" t="s">
        <v>235</v>
      </c>
      <c r="G18" s="7" t="s">
        <v>236</v>
      </c>
      <c r="H18" s="7" t="s">
        <v>125</v>
      </c>
      <c r="I18" s="29" t="n">
        <v>4</v>
      </c>
      <c r="J18" s="7" t="s">
        <v>237</v>
      </c>
      <c r="K18" s="7" t="s">
        <v>238</v>
      </c>
      <c r="L18" s="7" t="s">
        <v>239</v>
      </c>
      <c r="M18" s="7" t="s">
        <v>129</v>
      </c>
      <c r="N18" s="27" t="s">
        <v>129</v>
      </c>
      <c r="O18" s="27" t="s">
        <v>102</v>
      </c>
      <c r="P18" s="7" t="s">
        <v>240</v>
      </c>
      <c r="Q18" s="27" t="s">
        <v>50</v>
      </c>
      <c r="R18" s="7"/>
    </row>
    <row r="19" customFormat="false" ht="51" hidden="false" customHeight="true" outlineLevel="0" collapsed="false">
      <c r="B19" s="30" t="s">
        <v>77</v>
      </c>
      <c r="C19" s="30" t="s">
        <v>188</v>
      </c>
      <c r="D19" s="31" t="s">
        <v>241</v>
      </c>
      <c r="E19" s="9" t="s">
        <v>242</v>
      </c>
      <c r="F19" s="9" t="s">
        <v>243</v>
      </c>
      <c r="G19" s="9" t="s">
        <v>244</v>
      </c>
      <c r="H19" s="9" t="s">
        <v>125</v>
      </c>
      <c r="I19" s="32" t="n">
        <v>5</v>
      </c>
      <c r="J19" s="9" t="s">
        <v>245</v>
      </c>
      <c r="K19" s="9" t="s">
        <v>246</v>
      </c>
      <c r="L19" s="9" t="s">
        <v>247</v>
      </c>
      <c r="M19" s="9" t="s">
        <v>248</v>
      </c>
      <c r="N19" s="30" t="s">
        <v>129</v>
      </c>
      <c r="O19" s="30" t="s">
        <v>102</v>
      </c>
      <c r="P19" s="9" t="s">
        <v>249</v>
      </c>
      <c r="Q19" s="30" t="s">
        <v>50</v>
      </c>
      <c r="R19" s="9"/>
    </row>
    <row r="20" customFormat="false" ht="65.25" hidden="false" customHeight="true" outlineLevel="0" collapsed="false">
      <c r="B20" s="27" t="s">
        <v>77</v>
      </c>
      <c r="C20" s="27" t="s">
        <v>188</v>
      </c>
      <c r="D20" s="28" t="s">
        <v>250</v>
      </c>
      <c r="E20" s="7" t="s">
        <v>251</v>
      </c>
      <c r="F20" s="7" t="s">
        <v>252</v>
      </c>
      <c r="G20" s="7" t="s">
        <v>253</v>
      </c>
      <c r="H20" s="7" t="s">
        <v>125</v>
      </c>
      <c r="I20" s="29" t="n">
        <v>6</v>
      </c>
      <c r="J20" s="7" t="s">
        <v>254</v>
      </c>
      <c r="K20" s="7" t="s">
        <v>172</v>
      </c>
      <c r="L20" s="7" t="s">
        <v>195</v>
      </c>
      <c r="M20" s="7" t="s">
        <v>129</v>
      </c>
      <c r="N20" s="27" t="s">
        <v>129</v>
      </c>
      <c r="O20" s="27" t="s">
        <v>102</v>
      </c>
      <c r="P20" s="7" t="s">
        <v>255</v>
      </c>
      <c r="Q20" s="27" t="s">
        <v>50</v>
      </c>
      <c r="R20" s="7"/>
    </row>
    <row r="21" customFormat="false" ht="65.25" hidden="false" customHeight="true" outlineLevel="0" collapsed="false">
      <c r="B21" s="30" t="s">
        <v>77</v>
      </c>
      <c r="C21" s="30" t="s">
        <v>256</v>
      </c>
      <c r="D21" s="31" t="s">
        <v>257</v>
      </c>
      <c r="E21" s="9" t="s">
        <v>258</v>
      </c>
      <c r="F21" s="9" t="s">
        <v>259</v>
      </c>
      <c r="G21" s="9" t="s">
        <v>260</v>
      </c>
      <c r="H21" s="9" t="s">
        <v>125</v>
      </c>
      <c r="I21" s="32" t="n">
        <v>9</v>
      </c>
      <c r="J21" s="9" t="s">
        <v>261</v>
      </c>
      <c r="K21" s="9" t="s">
        <v>262</v>
      </c>
      <c r="L21" s="9" t="s">
        <v>263</v>
      </c>
      <c r="M21" s="9" t="s">
        <v>264</v>
      </c>
      <c r="N21" s="30" t="s">
        <v>129</v>
      </c>
      <c r="O21" s="30" t="s">
        <v>103</v>
      </c>
      <c r="P21" s="9" t="s">
        <v>265</v>
      </c>
      <c r="Q21" s="30" t="s">
        <v>50</v>
      </c>
      <c r="R21" s="9"/>
    </row>
    <row r="22" customFormat="false" ht="108.75" hidden="false" customHeight="true" outlineLevel="0" collapsed="false">
      <c r="B22" s="27" t="s">
        <v>77</v>
      </c>
      <c r="C22" s="27" t="s">
        <v>256</v>
      </c>
      <c r="D22" s="28" t="s">
        <v>266</v>
      </c>
      <c r="E22" s="7" t="s">
        <v>267</v>
      </c>
      <c r="F22" s="7" t="s">
        <v>268</v>
      </c>
      <c r="G22" s="7" t="s">
        <v>269</v>
      </c>
      <c r="H22" s="7" t="s">
        <v>125</v>
      </c>
      <c r="I22" s="29" t="n">
        <v>7</v>
      </c>
      <c r="J22" s="7" t="s">
        <v>270</v>
      </c>
      <c r="K22" s="7" t="s">
        <v>271</v>
      </c>
      <c r="L22" s="7" t="s">
        <v>272</v>
      </c>
      <c r="M22" s="7" t="s">
        <v>273</v>
      </c>
      <c r="N22" s="27" t="s">
        <v>129</v>
      </c>
      <c r="O22" s="27" t="s">
        <v>274</v>
      </c>
      <c r="P22" s="7" t="s">
        <v>275</v>
      </c>
      <c r="Q22" s="27" t="s">
        <v>50</v>
      </c>
      <c r="R22" s="7"/>
    </row>
    <row r="23" customFormat="false" ht="79.5" hidden="false" customHeight="true" outlineLevel="0" collapsed="false">
      <c r="B23" s="30" t="s">
        <v>77</v>
      </c>
      <c r="C23" s="30" t="s">
        <v>256</v>
      </c>
      <c r="D23" s="31" t="s">
        <v>276</v>
      </c>
      <c r="E23" s="9" t="s">
        <v>277</v>
      </c>
      <c r="F23" s="9" t="s">
        <v>278</v>
      </c>
      <c r="G23" s="9" t="s">
        <v>279</v>
      </c>
      <c r="H23" s="9" t="s">
        <v>280</v>
      </c>
      <c r="I23" s="32" t="n">
        <v>5</v>
      </c>
      <c r="J23" s="9" t="s">
        <v>281</v>
      </c>
      <c r="K23" s="9" t="s">
        <v>282</v>
      </c>
      <c r="L23" s="9" t="s">
        <v>283</v>
      </c>
      <c r="M23" s="9" t="s">
        <v>284</v>
      </c>
      <c r="N23" s="30" t="s">
        <v>129</v>
      </c>
      <c r="O23" s="30" t="s">
        <v>103</v>
      </c>
      <c r="P23" s="9" t="s">
        <v>285</v>
      </c>
      <c r="Q23" s="30" t="s">
        <v>50</v>
      </c>
      <c r="R23" s="9"/>
    </row>
    <row r="24" customFormat="false" ht="65.25" hidden="false" customHeight="true" outlineLevel="0" collapsed="false">
      <c r="B24" s="27" t="s">
        <v>77</v>
      </c>
      <c r="C24" s="27" t="s">
        <v>120</v>
      </c>
      <c r="D24" s="28" t="s">
        <v>286</v>
      </c>
      <c r="E24" s="7" t="s">
        <v>287</v>
      </c>
      <c r="F24" s="7" t="s">
        <v>288</v>
      </c>
      <c r="G24" s="7" t="s">
        <v>289</v>
      </c>
      <c r="H24" s="7" t="s">
        <v>125</v>
      </c>
      <c r="I24" s="29" t="n">
        <v>4</v>
      </c>
      <c r="J24" s="7" t="s">
        <v>290</v>
      </c>
      <c r="K24" s="7" t="s">
        <v>291</v>
      </c>
      <c r="L24" s="7" t="s">
        <v>292</v>
      </c>
      <c r="M24" s="7" t="s">
        <v>293</v>
      </c>
      <c r="N24" s="27" t="s">
        <v>129</v>
      </c>
      <c r="O24" s="27" t="s">
        <v>103</v>
      </c>
      <c r="P24" s="7" t="s">
        <v>294</v>
      </c>
      <c r="Q24" s="27" t="s">
        <v>50</v>
      </c>
      <c r="R24" s="7"/>
    </row>
    <row r="25" customFormat="false" ht="94.5" hidden="false" customHeight="true" outlineLevel="0" collapsed="false">
      <c r="B25" s="30" t="s">
        <v>77</v>
      </c>
      <c r="C25" s="30" t="s">
        <v>295</v>
      </c>
      <c r="D25" s="31" t="s">
        <v>296</v>
      </c>
      <c r="E25" s="9" t="s">
        <v>297</v>
      </c>
      <c r="F25" s="9" t="s">
        <v>298</v>
      </c>
      <c r="G25" s="9" t="s">
        <v>299</v>
      </c>
      <c r="H25" s="9" t="s">
        <v>280</v>
      </c>
      <c r="I25" s="32" t="n">
        <v>4</v>
      </c>
      <c r="J25" s="9" t="s">
        <v>300</v>
      </c>
      <c r="K25" s="9" t="s">
        <v>301</v>
      </c>
      <c r="L25" s="9" t="s">
        <v>238</v>
      </c>
      <c r="M25" s="9" t="s">
        <v>129</v>
      </c>
      <c r="N25" s="30" t="s">
        <v>129</v>
      </c>
      <c r="O25" s="30" t="s">
        <v>102</v>
      </c>
      <c r="P25" s="9" t="s">
        <v>302</v>
      </c>
      <c r="Q25" s="30" t="s">
        <v>50</v>
      </c>
      <c r="R25" s="9"/>
    </row>
    <row r="26" customFormat="false" ht="51" hidden="false" customHeight="true" outlineLevel="0" collapsed="false">
      <c r="B26" s="27" t="s">
        <v>77</v>
      </c>
      <c r="C26" s="27" t="s">
        <v>295</v>
      </c>
      <c r="D26" s="28" t="s">
        <v>283</v>
      </c>
      <c r="E26" s="7" t="s">
        <v>303</v>
      </c>
      <c r="F26" s="7" t="s">
        <v>304</v>
      </c>
      <c r="G26" s="7" t="s">
        <v>305</v>
      </c>
      <c r="H26" s="7" t="s">
        <v>201</v>
      </c>
      <c r="I26" s="29" t="n">
        <v>8</v>
      </c>
      <c r="J26" s="7" t="s">
        <v>281</v>
      </c>
      <c r="K26" s="7" t="s">
        <v>306</v>
      </c>
      <c r="L26" s="7" t="s">
        <v>307</v>
      </c>
      <c r="M26" s="7" t="s">
        <v>308</v>
      </c>
      <c r="N26" s="27" t="s">
        <v>129</v>
      </c>
      <c r="O26" s="27" t="s">
        <v>102</v>
      </c>
      <c r="P26" s="7" t="s">
        <v>309</v>
      </c>
      <c r="Q26" s="27" t="s">
        <v>50</v>
      </c>
      <c r="R26" s="7"/>
    </row>
    <row r="27" customFormat="false" ht="94.5" hidden="false" customHeight="true" outlineLevel="0" collapsed="false">
      <c r="B27" s="30" t="s">
        <v>77</v>
      </c>
      <c r="C27" s="30" t="s">
        <v>295</v>
      </c>
      <c r="D27" s="31" t="s">
        <v>310</v>
      </c>
      <c r="E27" s="9" t="s">
        <v>311</v>
      </c>
      <c r="F27" s="9" t="s">
        <v>312</v>
      </c>
      <c r="G27" s="9" t="s">
        <v>313</v>
      </c>
      <c r="H27" s="9" t="s">
        <v>219</v>
      </c>
      <c r="I27" s="32" t="n">
        <v>1</v>
      </c>
      <c r="J27" s="9" t="s">
        <v>314</v>
      </c>
      <c r="K27" s="9" t="s">
        <v>315</v>
      </c>
      <c r="L27" s="9" t="s">
        <v>316</v>
      </c>
      <c r="M27" s="9" t="s">
        <v>317</v>
      </c>
      <c r="N27" s="30" t="s">
        <v>129</v>
      </c>
      <c r="O27" s="30" t="s">
        <v>103</v>
      </c>
      <c r="P27" s="9" t="s">
        <v>318</v>
      </c>
      <c r="Q27" s="30" t="s">
        <v>50</v>
      </c>
      <c r="R27" s="9"/>
    </row>
    <row r="28" customFormat="false" ht="94.5" hidden="false" customHeight="true" outlineLevel="0" collapsed="false">
      <c r="B28" s="27" t="s">
        <v>77</v>
      </c>
      <c r="C28" s="27" t="s">
        <v>319</v>
      </c>
      <c r="D28" s="28" t="s">
        <v>320</v>
      </c>
      <c r="E28" s="7" t="s">
        <v>321</v>
      </c>
      <c r="F28" s="7" t="s">
        <v>322</v>
      </c>
      <c r="G28" s="7" t="s">
        <v>323</v>
      </c>
      <c r="H28" s="7" t="s">
        <v>324</v>
      </c>
      <c r="I28" s="29" t="n">
        <v>5</v>
      </c>
      <c r="J28" s="7" t="s">
        <v>325</v>
      </c>
      <c r="K28" s="7" t="s">
        <v>326</v>
      </c>
      <c r="L28" s="7" t="s">
        <v>327</v>
      </c>
      <c r="M28" s="7" t="s">
        <v>129</v>
      </c>
      <c r="N28" s="27" t="s">
        <v>129</v>
      </c>
      <c r="O28" s="27" t="s">
        <v>103</v>
      </c>
      <c r="P28" s="7" t="s">
        <v>328</v>
      </c>
      <c r="Q28" s="27" t="s">
        <v>50</v>
      </c>
      <c r="R28" s="7"/>
    </row>
    <row r="29" customFormat="false" ht="79.5" hidden="false" customHeight="true" outlineLevel="0" collapsed="false">
      <c r="B29" s="30" t="s">
        <v>77</v>
      </c>
      <c r="C29" s="30" t="s">
        <v>329</v>
      </c>
      <c r="D29" s="31" t="s">
        <v>330</v>
      </c>
      <c r="E29" s="9" t="s">
        <v>331</v>
      </c>
      <c r="F29" s="9" t="s">
        <v>332</v>
      </c>
      <c r="G29" s="9" t="s">
        <v>333</v>
      </c>
      <c r="H29" s="9" t="s">
        <v>125</v>
      </c>
      <c r="I29" s="32" t="n">
        <v>5</v>
      </c>
      <c r="J29" s="9" t="s">
        <v>334</v>
      </c>
      <c r="K29" s="9" t="s">
        <v>335</v>
      </c>
      <c r="L29" s="9" t="s">
        <v>336</v>
      </c>
      <c r="M29" s="9" t="s">
        <v>337</v>
      </c>
      <c r="N29" s="30" t="s">
        <v>129</v>
      </c>
      <c r="O29" s="30" t="s">
        <v>103</v>
      </c>
      <c r="P29" s="9" t="s">
        <v>338</v>
      </c>
      <c r="Q29" s="30" t="s">
        <v>50</v>
      </c>
      <c r="R29" s="9"/>
    </row>
    <row r="30" customFormat="false" ht="51" hidden="false" customHeight="true" outlineLevel="0" collapsed="false">
      <c r="B30" s="27" t="s">
        <v>77</v>
      </c>
      <c r="C30" s="27" t="s">
        <v>329</v>
      </c>
      <c r="D30" s="28" t="s">
        <v>339</v>
      </c>
      <c r="E30" s="7" t="s">
        <v>340</v>
      </c>
      <c r="F30" s="7" t="s">
        <v>341</v>
      </c>
      <c r="G30" s="7" t="s">
        <v>342</v>
      </c>
      <c r="H30" s="7" t="s">
        <v>125</v>
      </c>
      <c r="I30" s="29" t="n">
        <v>5</v>
      </c>
      <c r="J30" s="7" t="s">
        <v>343</v>
      </c>
      <c r="K30" s="7" t="s">
        <v>344</v>
      </c>
      <c r="L30" s="7" t="s">
        <v>345</v>
      </c>
      <c r="M30" s="7" t="s">
        <v>346</v>
      </c>
      <c r="N30" s="27" t="s">
        <v>129</v>
      </c>
      <c r="O30" s="27" t="s">
        <v>103</v>
      </c>
      <c r="P30" s="7" t="s">
        <v>347</v>
      </c>
      <c r="Q30" s="27" t="s">
        <v>50</v>
      </c>
      <c r="R30" s="7"/>
    </row>
    <row r="31" customFormat="false" ht="65.25" hidden="false" customHeight="true" outlineLevel="0" collapsed="false">
      <c r="B31" s="30" t="s">
        <v>77</v>
      </c>
      <c r="C31" s="30" t="s">
        <v>348</v>
      </c>
      <c r="D31" s="31" t="s">
        <v>349</v>
      </c>
      <c r="E31" s="9" t="s">
        <v>350</v>
      </c>
      <c r="F31" s="9" t="s">
        <v>351</v>
      </c>
      <c r="G31" s="9" t="s">
        <v>352</v>
      </c>
      <c r="H31" s="9" t="s">
        <v>125</v>
      </c>
      <c r="I31" s="32" t="s">
        <v>129</v>
      </c>
      <c r="J31" s="9" t="s">
        <v>353</v>
      </c>
      <c r="K31" s="9" t="s">
        <v>354</v>
      </c>
      <c r="L31" s="9" t="s">
        <v>238</v>
      </c>
      <c r="M31" s="9" t="s">
        <v>129</v>
      </c>
      <c r="N31" s="30" t="s">
        <v>129</v>
      </c>
      <c r="O31" s="30" t="s">
        <v>102</v>
      </c>
      <c r="P31" s="9" t="s">
        <v>355</v>
      </c>
      <c r="Q31" s="30" t="s">
        <v>50</v>
      </c>
      <c r="R31" s="9"/>
    </row>
    <row r="32" customFormat="false" ht="79.5" hidden="false" customHeight="true" outlineLevel="0" collapsed="false">
      <c r="B32" s="27" t="s">
        <v>77</v>
      </c>
      <c r="C32" s="27" t="s">
        <v>232</v>
      </c>
      <c r="D32" s="28" t="s">
        <v>356</v>
      </c>
      <c r="E32" s="7" t="s">
        <v>357</v>
      </c>
      <c r="F32" s="7" t="s">
        <v>358</v>
      </c>
      <c r="G32" s="7" t="s">
        <v>359</v>
      </c>
      <c r="H32" s="7" t="s">
        <v>125</v>
      </c>
      <c r="I32" s="29" t="n">
        <v>6</v>
      </c>
      <c r="J32" s="7" t="s">
        <v>360</v>
      </c>
      <c r="K32" s="7" t="s">
        <v>361</v>
      </c>
      <c r="L32" s="7" t="s">
        <v>362</v>
      </c>
      <c r="M32" s="7" t="s">
        <v>129</v>
      </c>
      <c r="N32" s="27" t="s">
        <v>129</v>
      </c>
      <c r="O32" s="27" t="s">
        <v>102</v>
      </c>
      <c r="P32" s="7" t="s">
        <v>363</v>
      </c>
      <c r="Q32" s="27" t="s">
        <v>50</v>
      </c>
      <c r="R32" s="7"/>
    </row>
    <row r="33" customFormat="false" ht="94.5" hidden="false" customHeight="true" outlineLevel="0" collapsed="false">
      <c r="B33" s="30" t="s">
        <v>77</v>
      </c>
      <c r="C33" s="30" t="s">
        <v>232</v>
      </c>
      <c r="D33" s="31" t="s">
        <v>364</v>
      </c>
      <c r="E33" s="9" t="s">
        <v>365</v>
      </c>
      <c r="F33" s="9" t="s">
        <v>366</v>
      </c>
      <c r="G33" s="9" t="s">
        <v>367</v>
      </c>
      <c r="H33" s="9" t="s">
        <v>125</v>
      </c>
      <c r="I33" s="32" t="s">
        <v>129</v>
      </c>
      <c r="J33" s="9" t="s">
        <v>368</v>
      </c>
      <c r="K33" s="9" t="s">
        <v>356</v>
      </c>
      <c r="L33" s="9" t="s">
        <v>239</v>
      </c>
      <c r="M33" s="9" t="s">
        <v>369</v>
      </c>
      <c r="N33" s="30" t="s">
        <v>370</v>
      </c>
      <c r="O33" s="30" t="s">
        <v>102</v>
      </c>
      <c r="P33" s="9" t="s">
        <v>371</v>
      </c>
      <c r="Q33" s="30" t="s">
        <v>50</v>
      </c>
      <c r="R33" s="9"/>
    </row>
    <row r="34" customFormat="false" ht="65.25" hidden="false" customHeight="true" outlineLevel="0" collapsed="false">
      <c r="B34" s="27" t="s">
        <v>77</v>
      </c>
      <c r="C34" s="27" t="s">
        <v>232</v>
      </c>
      <c r="D34" s="28" t="s">
        <v>372</v>
      </c>
      <c r="E34" s="7" t="s">
        <v>373</v>
      </c>
      <c r="F34" s="7" t="s">
        <v>374</v>
      </c>
      <c r="G34" s="7" t="s">
        <v>375</v>
      </c>
      <c r="H34" s="7" t="s">
        <v>125</v>
      </c>
      <c r="I34" s="29" t="n">
        <v>4</v>
      </c>
      <c r="J34" s="7" t="s">
        <v>376</v>
      </c>
      <c r="K34" s="7" t="s">
        <v>238</v>
      </c>
      <c r="L34" s="7" t="s">
        <v>377</v>
      </c>
      <c r="M34" s="7" t="s">
        <v>378</v>
      </c>
      <c r="N34" s="27" t="s">
        <v>129</v>
      </c>
      <c r="O34" s="27" t="s">
        <v>102</v>
      </c>
      <c r="P34" s="7" t="s">
        <v>379</v>
      </c>
      <c r="Q34" s="27" t="s">
        <v>50</v>
      </c>
      <c r="R34" s="7"/>
    </row>
    <row r="35" customFormat="false" ht="65.25" hidden="false" customHeight="true" outlineLevel="0" collapsed="false">
      <c r="B35" s="30" t="s">
        <v>77</v>
      </c>
      <c r="C35" s="30" t="s">
        <v>232</v>
      </c>
      <c r="D35" s="31" t="s">
        <v>380</v>
      </c>
      <c r="E35" s="9" t="s">
        <v>381</v>
      </c>
      <c r="F35" s="9" t="s">
        <v>382</v>
      </c>
      <c r="G35" s="9" t="s">
        <v>383</v>
      </c>
      <c r="H35" s="9" t="s">
        <v>125</v>
      </c>
      <c r="I35" s="32" t="n">
        <v>5</v>
      </c>
      <c r="J35" s="9" t="s">
        <v>384</v>
      </c>
      <c r="K35" s="9" t="s">
        <v>131</v>
      </c>
      <c r="L35" s="9" t="s">
        <v>385</v>
      </c>
      <c r="M35" s="9" t="s">
        <v>369</v>
      </c>
      <c r="N35" s="30" t="s">
        <v>370</v>
      </c>
      <c r="O35" s="30" t="s">
        <v>102</v>
      </c>
      <c r="P35" s="9" t="s">
        <v>386</v>
      </c>
      <c r="Q35" s="30" t="s">
        <v>50</v>
      </c>
      <c r="R35" s="9"/>
    </row>
    <row r="36" customFormat="false" ht="36" hidden="false" customHeight="true" outlineLevel="0" collapsed="false">
      <c r="B36" s="23" t="s">
        <v>78</v>
      </c>
      <c r="C36" s="23" t="s">
        <v>232</v>
      </c>
      <c r="D36" s="24" t="s">
        <v>387</v>
      </c>
      <c r="E36" s="25" t="s">
        <v>388</v>
      </c>
      <c r="F36" s="25" t="s">
        <v>389</v>
      </c>
      <c r="G36" s="25" t="s">
        <v>390</v>
      </c>
      <c r="H36" s="25" t="s">
        <v>391</v>
      </c>
      <c r="I36" s="26" t="n">
        <v>4</v>
      </c>
      <c r="J36" s="25" t="s">
        <v>392</v>
      </c>
      <c r="K36" s="25" t="s">
        <v>393</v>
      </c>
      <c r="L36" s="25" t="s">
        <v>394</v>
      </c>
      <c r="M36" s="25" t="s">
        <v>395</v>
      </c>
      <c r="N36" s="23" t="s">
        <v>129</v>
      </c>
      <c r="O36" s="23" t="s">
        <v>102</v>
      </c>
      <c r="P36" s="25" t="s">
        <v>396</v>
      </c>
      <c r="Q36" s="23" t="s">
        <v>50</v>
      </c>
      <c r="R36" s="25"/>
    </row>
    <row r="37" customFormat="false" ht="65.25" hidden="false" customHeight="true" outlineLevel="0" collapsed="false">
      <c r="B37" s="27" t="s">
        <v>78</v>
      </c>
      <c r="C37" s="27" t="s">
        <v>120</v>
      </c>
      <c r="D37" s="28" t="s">
        <v>397</v>
      </c>
      <c r="E37" s="7" t="s">
        <v>398</v>
      </c>
      <c r="F37" s="7" t="s">
        <v>399</v>
      </c>
      <c r="G37" s="7" t="s">
        <v>400</v>
      </c>
      <c r="H37" s="7" t="s">
        <v>401</v>
      </c>
      <c r="I37" s="29" t="n">
        <v>3</v>
      </c>
      <c r="J37" s="7" t="s">
        <v>402</v>
      </c>
      <c r="K37" s="7" t="s">
        <v>403</v>
      </c>
      <c r="L37" s="7" t="s">
        <v>404</v>
      </c>
      <c r="M37" s="7" t="s">
        <v>405</v>
      </c>
      <c r="N37" s="27" t="s">
        <v>129</v>
      </c>
      <c r="O37" s="27" t="s">
        <v>102</v>
      </c>
      <c r="P37" s="7" t="s">
        <v>406</v>
      </c>
      <c r="Q37" s="27" t="s">
        <v>50</v>
      </c>
      <c r="R37" s="7"/>
    </row>
    <row r="38" customFormat="false" ht="108.75" hidden="false" customHeight="true" outlineLevel="0" collapsed="false">
      <c r="B38" s="30" t="s">
        <v>78</v>
      </c>
      <c r="C38" s="30" t="s">
        <v>232</v>
      </c>
      <c r="D38" s="31" t="s">
        <v>385</v>
      </c>
      <c r="E38" s="9" t="s">
        <v>407</v>
      </c>
      <c r="F38" s="9" t="s">
        <v>408</v>
      </c>
      <c r="G38" s="9" t="s">
        <v>409</v>
      </c>
      <c r="H38" s="9" t="s">
        <v>401</v>
      </c>
      <c r="I38" s="32" t="n">
        <v>2</v>
      </c>
      <c r="J38" s="9" t="s">
        <v>410</v>
      </c>
      <c r="K38" s="9" t="s">
        <v>411</v>
      </c>
      <c r="L38" s="9" t="s">
        <v>292</v>
      </c>
      <c r="M38" s="9" t="s">
        <v>369</v>
      </c>
      <c r="N38" s="30" t="s">
        <v>370</v>
      </c>
      <c r="O38" s="30" t="s">
        <v>102</v>
      </c>
      <c r="P38" s="9" t="s">
        <v>412</v>
      </c>
      <c r="Q38" s="30" t="s">
        <v>50</v>
      </c>
      <c r="R38" s="9"/>
    </row>
    <row r="39" customFormat="false" ht="94.5" hidden="false" customHeight="true" outlineLevel="0" collapsed="false">
      <c r="B39" s="27" t="s">
        <v>78</v>
      </c>
      <c r="C39" s="27" t="s">
        <v>413</v>
      </c>
      <c r="D39" s="28" t="s">
        <v>404</v>
      </c>
      <c r="E39" s="7" t="s">
        <v>414</v>
      </c>
      <c r="F39" s="7" t="s">
        <v>415</v>
      </c>
      <c r="G39" s="7" t="s">
        <v>416</v>
      </c>
      <c r="H39" s="7" t="s">
        <v>201</v>
      </c>
      <c r="I39" s="29" t="n">
        <v>3</v>
      </c>
      <c r="J39" s="7" t="s">
        <v>417</v>
      </c>
      <c r="K39" s="7" t="s">
        <v>418</v>
      </c>
      <c r="L39" s="7" t="s">
        <v>419</v>
      </c>
      <c r="M39" s="7" t="s">
        <v>129</v>
      </c>
      <c r="N39" s="27" t="s">
        <v>129</v>
      </c>
      <c r="O39" s="27" t="s">
        <v>102</v>
      </c>
      <c r="P39" s="7" t="s">
        <v>420</v>
      </c>
      <c r="Q39" s="27" t="s">
        <v>50</v>
      </c>
      <c r="R39" s="7"/>
    </row>
    <row r="40" customFormat="false" ht="36" hidden="false" customHeight="true" outlineLevel="0" collapsed="false">
      <c r="B40" s="30" t="s">
        <v>78</v>
      </c>
      <c r="C40" s="30" t="s">
        <v>188</v>
      </c>
      <c r="D40" s="31" t="s">
        <v>421</v>
      </c>
      <c r="E40" s="9" t="s">
        <v>422</v>
      </c>
      <c r="F40" s="9" t="s">
        <v>423</v>
      </c>
      <c r="G40" s="9" t="s">
        <v>424</v>
      </c>
      <c r="H40" s="9" t="s">
        <v>201</v>
      </c>
      <c r="I40" s="32" t="n">
        <v>1</v>
      </c>
      <c r="J40" s="9" t="s">
        <v>425</v>
      </c>
      <c r="K40" s="9" t="s">
        <v>426</v>
      </c>
      <c r="L40" s="9" t="s">
        <v>315</v>
      </c>
      <c r="M40" s="9" t="s">
        <v>427</v>
      </c>
      <c r="N40" s="30" t="s">
        <v>129</v>
      </c>
      <c r="O40" s="30" t="s">
        <v>102</v>
      </c>
      <c r="P40" s="9" t="s">
        <v>428</v>
      </c>
      <c r="Q40" s="30" t="s">
        <v>50</v>
      </c>
      <c r="R40" s="9"/>
    </row>
    <row r="41" customFormat="false" ht="108.75" hidden="false" customHeight="true" outlineLevel="0" collapsed="false">
      <c r="B41" s="27" t="s">
        <v>78</v>
      </c>
      <c r="C41" s="27" t="s">
        <v>413</v>
      </c>
      <c r="D41" s="28" t="s">
        <v>429</v>
      </c>
      <c r="E41" s="7" t="s">
        <v>430</v>
      </c>
      <c r="F41" s="7" t="s">
        <v>431</v>
      </c>
      <c r="G41" s="7" t="s">
        <v>432</v>
      </c>
      <c r="H41" s="7" t="s">
        <v>201</v>
      </c>
      <c r="I41" s="29" t="n">
        <v>3</v>
      </c>
      <c r="J41" s="7" t="s">
        <v>433</v>
      </c>
      <c r="K41" s="7" t="s">
        <v>434</v>
      </c>
      <c r="L41" s="7" t="s">
        <v>435</v>
      </c>
      <c r="M41" s="7" t="s">
        <v>436</v>
      </c>
      <c r="N41" s="27" t="s">
        <v>129</v>
      </c>
      <c r="O41" s="27" t="s">
        <v>103</v>
      </c>
      <c r="P41" s="7" t="s">
        <v>437</v>
      </c>
      <c r="Q41" s="27" t="s">
        <v>50</v>
      </c>
      <c r="R41" s="7"/>
    </row>
    <row r="42" customFormat="false" ht="51" hidden="false" customHeight="true" outlineLevel="0" collapsed="false">
      <c r="B42" s="30" t="s">
        <v>78</v>
      </c>
      <c r="C42" s="30" t="s">
        <v>413</v>
      </c>
      <c r="D42" s="31" t="s">
        <v>438</v>
      </c>
      <c r="E42" s="9" t="s">
        <v>439</v>
      </c>
      <c r="F42" s="9" t="s">
        <v>440</v>
      </c>
      <c r="G42" s="9" t="s">
        <v>441</v>
      </c>
      <c r="H42" s="9" t="s">
        <v>201</v>
      </c>
      <c r="I42" s="32" t="n">
        <v>1</v>
      </c>
      <c r="J42" s="9" t="s">
        <v>442</v>
      </c>
      <c r="K42" s="9" t="s">
        <v>429</v>
      </c>
      <c r="L42" s="9" t="s">
        <v>443</v>
      </c>
      <c r="M42" s="9" t="s">
        <v>129</v>
      </c>
      <c r="N42" s="30" t="s">
        <v>129</v>
      </c>
      <c r="O42" s="30" t="s">
        <v>102</v>
      </c>
      <c r="P42" s="9" t="s">
        <v>444</v>
      </c>
      <c r="Q42" s="30" t="s">
        <v>50</v>
      </c>
      <c r="R42" s="9"/>
    </row>
    <row r="43" customFormat="false" ht="123" hidden="false" customHeight="true" outlineLevel="0" collapsed="false">
      <c r="B43" s="27" t="s">
        <v>78</v>
      </c>
      <c r="C43" s="27" t="s">
        <v>206</v>
      </c>
      <c r="D43" s="28" t="s">
        <v>445</v>
      </c>
      <c r="E43" s="7" t="s">
        <v>446</v>
      </c>
      <c r="F43" s="7" t="s">
        <v>447</v>
      </c>
      <c r="G43" s="7" t="s">
        <v>448</v>
      </c>
      <c r="H43" s="7" t="s">
        <v>206</v>
      </c>
      <c r="I43" s="29" t="n">
        <v>3</v>
      </c>
      <c r="J43" s="7" t="s">
        <v>449</v>
      </c>
      <c r="K43" s="7" t="s">
        <v>450</v>
      </c>
      <c r="L43" s="7" t="s">
        <v>451</v>
      </c>
      <c r="M43" s="7" t="s">
        <v>452</v>
      </c>
      <c r="N43" s="27" t="s">
        <v>129</v>
      </c>
      <c r="O43" s="27" t="s">
        <v>103</v>
      </c>
      <c r="P43" s="7" t="s">
        <v>453</v>
      </c>
      <c r="Q43" s="27" t="s">
        <v>50</v>
      </c>
      <c r="R43" s="7"/>
    </row>
    <row r="44" customFormat="false" ht="123" hidden="false" customHeight="true" outlineLevel="0" collapsed="false">
      <c r="B44" s="30" t="s">
        <v>78</v>
      </c>
      <c r="C44" s="30" t="s">
        <v>206</v>
      </c>
      <c r="D44" s="31" t="s">
        <v>454</v>
      </c>
      <c r="E44" s="9" t="s">
        <v>455</v>
      </c>
      <c r="F44" s="9" t="s">
        <v>456</v>
      </c>
      <c r="G44" s="9" t="s">
        <v>457</v>
      </c>
      <c r="H44" s="9" t="s">
        <v>206</v>
      </c>
      <c r="I44" s="32" t="n">
        <v>7</v>
      </c>
      <c r="J44" s="9" t="s">
        <v>458</v>
      </c>
      <c r="K44" s="9" t="s">
        <v>459</v>
      </c>
      <c r="L44" s="9" t="s">
        <v>460</v>
      </c>
      <c r="M44" s="9" t="s">
        <v>461</v>
      </c>
      <c r="N44" s="30" t="s">
        <v>129</v>
      </c>
      <c r="O44" s="30" t="s">
        <v>103</v>
      </c>
      <c r="P44" s="9" t="s">
        <v>462</v>
      </c>
      <c r="Q44" s="30" t="s">
        <v>50</v>
      </c>
      <c r="R44" s="9"/>
    </row>
    <row r="45" customFormat="false" ht="94.5" hidden="false" customHeight="true" outlineLevel="0" collapsed="false">
      <c r="B45" s="27" t="s">
        <v>78</v>
      </c>
      <c r="C45" s="27" t="s">
        <v>206</v>
      </c>
      <c r="D45" s="28" t="s">
        <v>463</v>
      </c>
      <c r="E45" s="7" t="s">
        <v>464</v>
      </c>
      <c r="F45" s="7" t="s">
        <v>465</v>
      </c>
      <c r="G45" s="7" t="s">
        <v>466</v>
      </c>
      <c r="H45" s="7" t="s">
        <v>206</v>
      </c>
      <c r="I45" s="29" t="n">
        <v>2</v>
      </c>
      <c r="J45" s="7" t="s">
        <v>467</v>
      </c>
      <c r="K45" s="7" t="s">
        <v>468</v>
      </c>
      <c r="L45" s="7" t="s">
        <v>438</v>
      </c>
      <c r="M45" s="7" t="s">
        <v>469</v>
      </c>
      <c r="N45" s="27" t="s">
        <v>129</v>
      </c>
      <c r="O45" s="27" t="s">
        <v>104</v>
      </c>
      <c r="P45" s="7" t="s">
        <v>470</v>
      </c>
      <c r="Q45" s="27" t="s">
        <v>50</v>
      </c>
      <c r="R45" s="7"/>
    </row>
    <row r="46" customFormat="false" ht="51" hidden="false" customHeight="true" outlineLevel="0" collapsed="false">
      <c r="B46" s="30" t="s">
        <v>78</v>
      </c>
      <c r="C46" s="30" t="s">
        <v>329</v>
      </c>
      <c r="D46" s="31" t="s">
        <v>471</v>
      </c>
      <c r="E46" s="9" t="s">
        <v>472</v>
      </c>
      <c r="F46" s="9" t="s">
        <v>473</v>
      </c>
      <c r="G46" s="9" t="s">
        <v>474</v>
      </c>
      <c r="H46" s="9" t="s">
        <v>475</v>
      </c>
      <c r="I46" s="32" t="n">
        <v>3</v>
      </c>
      <c r="J46" s="9" t="s">
        <v>476</v>
      </c>
      <c r="K46" s="9" t="s">
        <v>477</v>
      </c>
      <c r="L46" s="9" t="s">
        <v>454</v>
      </c>
      <c r="M46" s="9" t="s">
        <v>478</v>
      </c>
      <c r="N46" s="30" t="s">
        <v>129</v>
      </c>
      <c r="O46" s="30" t="s">
        <v>103</v>
      </c>
      <c r="P46" s="9" t="s">
        <v>479</v>
      </c>
      <c r="Q46" s="30" t="s">
        <v>50</v>
      </c>
      <c r="R46" s="9"/>
    </row>
    <row r="47" customFormat="false" ht="51" hidden="false" customHeight="true" outlineLevel="0" collapsed="false">
      <c r="B47" s="27" t="s">
        <v>78</v>
      </c>
      <c r="C47" s="27" t="s">
        <v>319</v>
      </c>
      <c r="D47" s="28" t="s">
        <v>480</v>
      </c>
      <c r="E47" s="7" t="s">
        <v>481</v>
      </c>
      <c r="F47" s="7" t="s">
        <v>482</v>
      </c>
      <c r="G47" s="7" t="s">
        <v>483</v>
      </c>
      <c r="H47" s="7" t="s">
        <v>484</v>
      </c>
      <c r="I47" s="29" t="n">
        <v>7</v>
      </c>
      <c r="J47" s="7" t="s">
        <v>485</v>
      </c>
      <c r="K47" s="7" t="s">
        <v>486</v>
      </c>
      <c r="L47" s="7" t="s">
        <v>320</v>
      </c>
      <c r="M47" s="7" t="s">
        <v>487</v>
      </c>
      <c r="N47" s="27" t="s">
        <v>488</v>
      </c>
      <c r="O47" s="27" t="s">
        <v>489</v>
      </c>
      <c r="P47" s="7" t="s">
        <v>490</v>
      </c>
      <c r="Q47" s="27" t="s">
        <v>50</v>
      </c>
      <c r="R47" s="7"/>
    </row>
    <row r="48" customFormat="false" ht="94.5" hidden="false" customHeight="true" outlineLevel="0" collapsed="false">
      <c r="B48" s="30" t="s">
        <v>78</v>
      </c>
      <c r="C48" s="30" t="s">
        <v>232</v>
      </c>
      <c r="D48" s="31" t="s">
        <v>491</v>
      </c>
      <c r="E48" s="9" t="s">
        <v>492</v>
      </c>
      <c r="F48" s="9" t="s">
        <v>493</v>
      </c>
      <c r="G48" s="9" t="s">
        <v>494</v>
      </c>
      <c r="H48" s="9" t="s">
        <v>495</v>
      </c>
      <c r="I48" s="32" t="s">
        <v>129</v>
      </c>
      <c r="J48" s="9" t="s">
        <v>129</v>
      </c>
      <c r="K48" s="9" t="s">
        <v>496</v>
      </c>
      <c r="L48" s="9" t="s">
        <v>497</v>
      </c>
      <c r="M48" s="9" t="s">
        <v>498</v>
      </c>
      <c r="N48" s="30" t="s">
        <v>370</v>
      </c>
      <c r="O48" s="30" t="s">
        <v>102</v>
      </c>
      <c r="P48" s="9" t="s">
        <v>499</v>
      </c>
      <c r="Q48" s="30" t="s">
        <v>50</v>
      </c>
      <c r="R48" s="9"/>
    </row>
    <row r="49" customFormat="false" ht="79.5" hidden="false" customHeight="true" outlineLevel="0" collapsed="false">
      <c r="B49" s="23" t="s">
        <v>79</v>
      </c>
      <c r="C49" s="23" t="s">
        <v>500</v>
      </c>
      <c r="D49" s="24" t="s">
        <v>501</v>
      </c>
      <c r="E49" s="25" t="s">
        <v>502</v>
      </c>
      <c r="F49" s="25" t="s">
        <v>503</v>
      </c>
      <c r="G49" s="25" t="s">
        <v>504</v>
      </c>
      <c r="H49" s="25" t="s">
        <v>475</v>
      </c>
      <c r="I49" s="26" t="n">
        <v>1</v>
      </c>
      <c r="J49" s="25" t="s">
        <v>505</v>
      </c>
      <c r="K49" s="25" t="s">
        <v>506</v>
      </c>
      <c r="L49" s="25" t="s">
        <v>507</v>
      </c>
      <c r="M49" s="25" t="s">
        <v>508</v>
      </c>
      <c r="N49" s="23" t="s">
        <v>370</v>
      </c>
      <c r="O49" s="23" t="s">
        <v>102</v>
      </c>
      <c r="P49" s="25" t="s">
        <v>509</v>
      </c>
      <c r="Q49" s="23" t="s">
        <v>50</v>
      </c>
      <c r="R49" s="25"/>
    </row>
    <row r="50" customFormat="false" ht="51" hidden="false" customHeight="true" outlineLevel="0" collapsed="false">
      <c r="B50" s="27" t="s">
        <v>79</v>
      </c>
      <c r="C50" s="27" t="s">
        <v>120</v>
      </c>
      <c r="D50" s="28" t="s">
        <v>510</v>
      </c>
      <c r="E50" s="7" t="s">
        <v>511</v>
      </c>
      <c r="F50" s="7" t="s">
        <v>512</v>
      </c>
      <c r="G50" s="7" t="s">
        <v>513</v>
      </c>
      <c r="H50" s="7" t="s">
        <v>401</v>
      </c>
      <c r="I50" s="29" t="n">
        <v>7</v>
      </c>
      <c r="J50" s="7" t="s">
        <v>514</v>
      </c>
      <c r="K50" s="7" t="s">
        <v>515</v>
      </c>
      <c r="L50" s="7" t="s">
        <v>516</v>
      </c>
      <c r="M50" s="7" t="s">
        <v>517</v>
      </c>
      <c r="N50" s="27" t="s">
        <v>488</v>
      </c>
      <c r="O50" s="27" t="s">
        <v>102</v>
      </c>
      <c r="P50" s="7" t="s">
        <v>518</v>
      </c>
      <c r="Q50" s="27" t="s">
        <v>50</v>
      </c>
      <c r="R50" s="7"/>
    </row>
    <row r="51" customFormat="false" ht="79.5" hidden="false" customHeight="true" outlineLevel="0" collapsed="false">
      <c r="B51" s="30" t="s">
        <v>79</v>
      </c>
      <c r="C51" s="30" t="s">
        <v>232</v>
      </c>
      <c r="D51" s="31" t="s">
        <v>519</v>
      </c>
      <c r="E51" s="9" t="s">
        <v>520</v>
      </c>
      <c r="F51" s="9" t="s">
        <v>521</v>
      </c>
      <c r="G51" s="9" t="s">
        <v>522</v>
      </c>
      <c r="H51" s="9" t="s">
        <v>401</v>
      </c>
      <c r="I51" s="32" t="n">
        <v>3</v>
      </c>
      <c r="J51" s="9" t="s">
        <v>514</v>
      </c>
      <c r="K51" s="9" t="s">
        <v>523</v>
      </c>
      <c r="L51" s="9" t="s">
        <v>524</v>
      </c>
      <c r="M51" s="9" t="s">
        <v>525</v>
      </c>
      <c r="N51" s="30" t="s">
        <v>488</v>
      </c>
      <c r="O51" s="30" t="s">
        <v>102</v>
      </c>
      <c r="P51" s="9" t="s">
        <v>526</v>
      </c>
      <c r="Q51" s="30" t="s">
        <v>50</v>
      </c>
      <c r="R51" s="9"/>
    </row>
    <row r="52" customFormat="false" ht="51" hidden="false" customHeight="true" outlineLevel="0" collapsed="false">
      <c r="B52" s="27" t="s">
        <v>79</v>
      </c>
      <c r="C52" s="27" t="s">
        <v>413</v>
      </c>
      <c r="D52" s="28" t="s">
        <v>527</v>
      </c>
      <c r="E52" s="7" t="s">
        <v>528</v>
      </c>
      <c r="F52" s="7" t="s">
        <v>529</v>
      </c>
      <c r="G52" s="7" t="s">
        <v>530</v>
      </c>
      <c r="H52" s="7" t="s">
        <v>531</v>
      </c>
      <c r="I52" s="29" t="n">
        <v>4</v>
      </c>
      <c r="J52" s="7" t="s">
        <v>532</v>
      </c>
      <c r="K52" s="7" t="s">
        <v>533</v>
      </c>
      <c r="L52" s="7" t="s">
        <v>534</v>
      </c>
      <c r="M52" s="7" t="s">
        <v>535</v>
      </c>
      <c r="N52" s="27" t="s">
        <v>370</v>
      </c>
      <c r="O52" s="27" t="s">
        <v>102</v>
      </c>
      <c r="P52" s="7" t="s">
        <v>536</v>
      </c>
      <c r="Q52" s="27" t="s">
        <v>50</v>
      </c>
      <c r="R52" s="7"/>
    </row>
    <row r="53" customFormat="false" ht="51" hidden="false" customHeight="true" outlineLevel="0" collapsed="false">
      <c r="B53" s="30" t="s">
        <v>79</v>
      </c>
      <c r="C53" s="30" t="s">
        <v>413</v>
      </c>
      <c r="D53" s="31" t="s">
        <v>537</v>
      </c>
      <c r="E53" s="9" t="s">
        <v>538</v>
      </c>
      <c r="F53" s="9" t="s">
        <v>539</v>
      </c>
      <c r="G53" s="9" t="s">
        <v>540</v>
      </c>
      <c r="H53" s="9" t="s">
        <v>201</v>
      </c>
      <c r="I53" s="32" t="n">
        <v>1</v>
      </c>
      <c r="J53" s="9" t="s">
        <v>541</v>
      </c>
      <c r="K53" s="9" t="s">
        <v>542</v>
      </c>
      <c r="L53" s="9" t="s">
        <v>543</v>
      </c>
      <c r="M53" s="9" t="s">
        <v>544</v>
      </c>
      <c r="N53" s="30" t="s">
        <v>370</v>
      </c>
      <c r="O53" s="30" t="s">
        <v>103</v>
      </c>
      <c r="P53" s="9" t="s">
        <v>545</v>
      </c>
      <c r="Q53" s="30" t="s">
        <v>50</v>
      </c>
      <c r="R53" s="9"/>
    </row>
    <row r="54" customFormat="false" ht="51" hidden="false" customHeight="true" outlineLevel="0" collapsed="false">
      <c r="B54" s="27" t="s">
        <v>79</v>
      </c>
      <c r="C54" s="27" t="s">
        <v>413</v>
      </c>
      <c r="D54" s="28" t="s">
        <v>546</v>
      </c>
      <c r="E54" s="7" t="s">
        <v>547</v>
      </c>
      <c r="F54" s="7" t="s">
        <v>548</v>
      </c>
      <c r="G54" s="7" t="s">
        <v>549</v>
      </c>
      <c r="H54" s="7" t="s">
        <v>219</v>
      </c>
      <c r="I54" s="29" t="n">
        <v>10</v>
      </c>
      <c r="J54" s="7" t="s">
        <v>550</v>
      </c>
      <c r="K54" s="7" t="s">
        <v>551</v>
      </c>
      <c r="L54" s="7" t="s">
        <v>552</v>
      </c>
      <c r="M54" s="7" t="s">
        <v>553</v>
      </c>
      <c r="N54" s="27" t="s">
        <v>370</v>
      </c>
      <c r="O54" s="27" t="s">
        <v>102</v>
      </c>
      <c r="P54" s="7" t="s">
        <v>554</v>
      </c>
      <c r="Q54" s="27" t="s">
        <v>50</v>
      </c>
      <c r="R54" s="7"/>
    </row>
    <row r="55" customFormat="false" ht="36" hidden="false" customHeight="true" outlineLevel="0" collapsed="false">
      <c r="B55" s="30" t="s">
        <v>79</v>
      </c>
      <c r="C55" s="30" t="s">
        <v>329</v>
      </c>
      <c r="D55" s="31" t="s">
        <v>555</v>
      </c>
      <c r="E55" s="9" t="s">
        <v>556</v>
      </c>
      <c r="F55" s="9" t="s">
        <v>557</v>
      </c>
      <c r="G55" s="9" t="s">
        <v>558</v>
      </c>
      <c r="H55" s="9" t="s">
        <v>475</v>
      </c>
      <c r="I55" s="32" t="n">
        <v>4</v>
      </c>
      <c r="J55" s="9" t="s">
        <v>559</v>
      </c>
      <c r="K55" s="9" t="s">
        <v>560</v>
      </c>
      <c r="L55" s="9" t="s">
        <v>561</v>
      </c>
      <c r="M55" s="9" t="s">
        <v>562</v>
      </c>
      <c r="N55" s="30" t="s">
        <v>488</v>
      </c>
      <c r="O55" s="30" t="s">
        <v>103</v>
      </c>
      <c r="P55" s="9" t="s">
        <v>563</v>
      </c>
      <c r="Q55" s="30" t="s">
        <v>50</v>
      </c>
      <c r="R55" s="9"/>
    </row>
    <row r="56" customFormat="false" ht="65.25" hidden="false" customHeight="true" outlineLevel="0" collapsed="false">
      <c r="B56" s="27" t="s">
        <v>79</v>
      </c>
      <c r="C56" s="27" t="s">
        <v>319</v>
      </c>
      <c r="D56" s="28" t="s">
        <v>564</v>
      </c>
      <c r="E56" s="7" t="s">
        <v>565</v>
      </c>
      <c r="F56" s="7" t="s">
        <v>566</v>
      </c>
      <c r="G56" s="7" t="s">
        <v>567</v>
      </c>
      <c r="H56" s="7" t="s">
        <v>484</v>
      </c>
      <c r="I56" s="29" t="n">
        <v>6</v>
      </c>
      <c r="J56" s="7" t="s">
        <v>568</v>
      </c>
      <c r="K56" s="7" t="s">
        <v>569</v>
      </c>
      <c r="L56" s="7" t="s">
        <v>320</v>
      </c>
      <c r="M56" s="7" t="s">
        <v>570</v>
      </c>
      <c r="N56" s="27" t="s">
        <v>370</v>
      </c>
      <c r="O56" s="27" t="s">
        <v>102</v>
      </c>
      <c r="P56" s="7" t="s">
        <v>571</v>
      </c>
      <c r="Q56" s="27" t="s">
        <v>50</v>
      </c>
      <c r="R56" s="7"/>
    </row>
    <row r="57" customFormat="false" ht="36" hidden="false" customHeight="true" outlineLevel="0" collapsed="false">
      <c r="B57" s="30" t="s">
        <v>79</v>
      </c>
      <c r="C57" s="30" t="s">
        <v>572</v>
      </c>
      <c r="D57" s="31" t="s">
        <v>561</v>
      </c>
      <c r="E57" s="9" t="s">
        <v>573</v>
      </c>
      <c r="F57" s="9" t="s">
        <v>574</v>
      </c>
      <c r="G57" s="9" t="s">
        <v>575</v>
      </c>
      <c r="H57" s="9" t="s">
        <v>576</v>
      </c>
      <c r="I57" s="32" t="n">
        <v>3</v>
      </c>
      <c r="J57" s="9" t="s">
        <v>577</v>
      </c>
      <c r="K57" s="9" t="s">
        <v>578</v>
      </c>
      <c r="L57" s="9" t="s">
        <v>579</v>
      </c>
      <c r="M57" s="9" t="s">
        <v>580</v>
      </c>
      <c r="N57" s="30" t="s">
        <v>129</v>
      </c>
      <c r="O57" s="30" t="s">
        <v>103</v>
      </c>
      <c r="P57" s="9" t="s">
        <v>581</v>
      </c>
      <c r="Q57" s="30" t="s">
        <v>50</v>
      </c>
      <c r="R57" s="9"/>
    </row>
    <row r="58" customFormat="false" ht="51" hidden="false" customHeight="true" outlineLevel="0" collapsed="false">
      <c r="B58" s="27" t="s">
        <v>79</v>
      </c>
      <c r="C58" s="27" t="s">
        <v>572</v>
      </c>
      <c r="D58" s="28" t="s">
        <v>582</v>
      </c>
      <c r="E58" s="7" t="s">
        <v>583</v>
      </c>
      <c r="F58" s="7" t="s">
        <v>584</v>
      </c>
      <c r="G58" s="7" t="s">
        <v>585</v>
      </c>
      <c r="H58" s="7" t="s">
        <v>586</v>
      </c>
      <c r="I58" s="29" t="s">
        <v>129</v>
      </c>
      <c r="J58" s="7" t="s">
        <v>587</v>
      </c>
      <c r="K58" s="7" t="s">
        <v>588</v>
      </c>
      <c r="L58" s="7" t="s">
        <v>546</v>
      </c>
      <c r="M58" s="7" t="s">
        <v>589</v>
      </c>
      <c r="N58" s="27" t="s">
        <v>488</v>
      </c>
      <c r="O58" s="27" t="s">
        <v>104</v>
      </c>
      <c r="P58" s="7" t="s">
        <v>590</v>
      </c>
      <c r="Q58" s="27" t="s">
        <v>50</v>
      </c>
      <c r="R58" s="7"/>
    </row>
    <row r="59" customFormat="false" ht="36" hidden="false" customHeight="true" outlineLevel="0" collapsed="false">
      <c r="B59" s="33" t="s">
        <v>80</v>
      </c>
      <c r="C59" s="33" t="s">
        <v>256</v>
      </c>
      <c r="D59" s="34" t="s">
        <v>591</v>
      </c>
      <c r="E59" s="35" t="s">
        <v>592</v>
      </c>
      <c r="F59" s="35" t="s">
        <v>593</v>
      </c>
      <c r="G59" s="35" t="s">
        <v>594</v>
      </c>
      <c r="H59" s="35" t="s">
        <v>125</v>
      </c>
      <c r="I59" s="36" t="n">
        <v>1</v>
      </c>
      <c r="J59" s="35" t="s">
        <v>595</v>
      </c>
      <c r="K59" s="35" t="s">
        <v>596</v>
      </c>
      <c r="L59" s="35" t="s">
        <v>597</v>
      </c>
      <c r="M59" s="35" t="s">
        <v>598</v>
      </c>
      <c r="N59" s="33" t="s">
        <v>129</v>
      </c>
      <c r="O59" s="33" t="s">
        <v>102</v>
      </c>
      <c r="P59" s="35" t="s">
        <v>599</v>
      </c>
      <c r="Q59" s="33" t="s">
        <v>50</v>
      </c>
      <c r="R59" s="35"/>
    </row>
    <row r="60" customFormat="false" ht="36" hidden="false" customHeight="true" outlineLevel="0" collapsed="false">
      <c r="B60" s="27" t="s">
        <v>80</v>
      </c>
      <c r="C60" s="27" t="s">
        <v>256</v>
      </c>
      <c r="D60" s="28" t="s">
        <v>552</v>
      </c>
      <c r="E60" s="7" t="s">
        <v>600</v>
      </c>
      <c r="F60" s="7" t="s">
        <v>601</v>
      </c>
      <c r="G60" s="7" t="s">
        <v>602</v>
      </c>
      <c r="H60" s="7" t="s">
        <v>603</v>
      </c>
      <c r="I60" s="29" t="n">
        <v>1</v>
      </c>
      <c r="J60" s="7" t="s">
        <v>604</v>
      </c>
      <c r="K60" s="7" t="s">
        <v>605</v>
      </c>
      <c r="L60" s="7" t="s">
        <v>606</v>
      </c>
      <c r="M60" s="7" t="s">
        <v>607</v>
      </c>
      <c r="N60" s="27" t="s">
        <v>370</v>
      </c>
      <c r="O60" s="27" t="s">
        <v>102</v>
      </c>
      <c r="P60" s="7" t="s">
        <v>608</v>
      </c>
      <c r="Q60" s="27" t="s">
        <v>50</v>
      </c>
      <c r="R60" s="7"/>
    </row>
    <row r="61" customFormat="false" ht="51" hidden="false" customHeight="true" outlineLevel="0" collapsed="false">
      <c r="B61" s="30" t="s">
        <v>80</v>
      </c>
      <c r="C61" s="30" t="s">
        <v>256</v>
      </c>
      <c r="D61" s="31" t="s">
        <v>609</v>
      </c>
      <c r="E61" s="9" t="s">
        <v>610</v>
      </c>
      <c r="F61" s="9" t="s">
        <v>611</v>
      </c>
      <c r="G61" s="9" t="s">
        <v>612</v>
      </c>
      <c r="H61" s="9" t="s">
        <v>613</v>
      </c>
      <c r="I61" s="32" t="s">
        <v>129</v>
      </c>
      <c r="J61" s="9" t="s">
        <v>614</v>
      </c>
      <c r="K61" s="9" t="s">
        <v>615</v>
      </c>
      <c r="L61" s="9" t="s">
        <v>616</v>
      </c>
      <c r="M61" s="9" t="s">
        <v>617</v>
      </c>
      <c r="N61" s="30" t="s">
        <v>618</v>
      </c>
      <c r="O61" s="30" t="s">
        <v>619</v>
      </c>
      <c r="P61" s="9" t="s">
        <v>620</v>
      </c>
      <c r="Q61" s="30" t="s">
        <v>50</v>
      </c>
      <c r="R61" s="9"/>
    </row>
    <row r="62" customFormat="false" ht="51" hidden="false" customHeight="true" outlineLevel="0" collapsed="false">
      <c r="B62" s="27" t="s">
        <v>80</v>
      </c>
      <c r="C62" s="27" t="s">
        <v>256</v>
      </c>
      <c r="D62" s="28" t="s">
        <v>621</v>
      </c>
      <c r="E62" s="7" t="s">
        <v>622</v>
      </c>
      <c r="F62" s="7" t="s">
        <v>623</v>
      </c>
      <c r="G62" s="7" t="s">
        <v>624</v>
      </c>
      <c r="H62" s="7" t="s">
        <v>625</v>
      </c>
      <c r="I62" s="29" t="s">
        <v>129</v>
      </c>
      <c r="J62" s="7" t="s">
        <v>129</v>
      </c>
      <c r="K62" s="7" t="s">
        <v>626</v>
      </c>
      <c r="L62" s="7" t="s">
        <v>616</v>
      </c>
      <c r="M62" s="7" t="s">
        <v>627</v>
      </c>
      <c r="N62" s="27" t="s">
        <v>488</v>
      </c>
      <c r="O62" s="27" t="s">
        <v>102</v>
      </c>
      <c r="P62" s="7" t="s">
        <v>628</v>
      </c>
      <c r="Q62" s="27" t="s">
        <v>50</v>
      </c>
      <c r="R62" s="7"/>
    </row>
    <row r="63" customFormat="false" ht="36" hidden="false" customHeight="true" outlineLevel="0" collapsed="false">
      <c r="B63" s="30" t="s">
        <v>80</v>
      </c>
      <c r="C63" s="30" t="s">
        <v>256</v>
      </c>
      <c r="D63" s="31" t="s">
        <v>629</v>
      </c>
      <c r="E63" s="9" t="s">
        <v>630</v>
      </c>
      <c r="F63" s="9" t="s">
        <v>631</v>
      </c>
      <c r="G63" s="9" t="s">
        <v>632</v>
      </c>
      <c r="H63" s="9" t="s">
        <v>603</v>
      </c>
      <c r="I63" s="32" t="n">
        <v>2</v>
      </c>
      <c r="J63" s="9" t="s">
        <v>604</v>
      </c>
      <c r="K63" s="9" t="s">
        <v>633</v>
      </c>
      <c r="L63" s="9" t="s">
        <v>634</v>
      </c>
      <c r="M63" s="9" t="s">
        <v>635</v>
      </c>
      <c r="N63" s="30" t="s">
        <v>370</v>
      </c>
      <c r="O63" s="30" t="s">
        <v>102</v>
      </c>
      <c r="P63" s="9" t="s">
        <v>636</v>
      </c>
      <c r="Q63" s="30" t="s">
        <v>50</v>
      </c>
      <c r="R63" s="9"/>
    </row>
    <row r="64" customFormat="false" ht="51" hidden="false" customHeight="true" outlineLevel="0" collapsed="false">
      <c r="B64" s="27" t="s">
        <v>80</v>
      </c>
      <c r="C64" s="27" t="s">
        <v>256</v>
      </c>
      <c r="D64" s="28" t="s">
        <v>637</v>
      </c>
      <c r="E64" s="7" t="s">
        <v>638</v>
      </c>
      <c r="F64" s="7" t="s">
        <v>639</v>
      </c>
      <c r="G64" s="7" t="s">
        <v>640</v>
      </c>
      <c r="H64" s="7" t="s">
        <v>625</v>
      </c>
      <c r="I64" s="29" t="s">
        <v>129</v>
      </c>
      <c r="J64" s="7" t="s">
        <v>641</v>
      </c>
      <c r="K64" s="7" t="s">
        <v>609</v>
      </c>
      <c r="L64" s="7" t="s">
        <v>642</v>
      </c>
      <c r="M64" s="7" t="s">
        <v>643</v>
      </c>
      <c r="N64" s="27" t="s">
        <v>370</v>
      </c>
      <c r="O64" s="27" t="s">
        <v>644</v>
      </c>
      <c r="P64" s="7" t="s">
        <v>645</v>
      </c>
      <c r="Q64" s="27" t="s">
        <v>50</v>
      </c>
      <c r="R64" s="7"/>
    </row>
    <row r="65" customFormat="false" ht="123" hidden="false" customHeight="true" outlineLevel="0" collapsed="false">
      <c r="B65" s="33" t="s">
        <v>81</v>
      </c>
      <c r="C65" s="33" t="s">
        <v>155</v>
      </c>
      <c r="D65" s="34" t="s">
        <v>646</v>
      </c>
      <c r="E65" s="35" t="s">
        <v>647</v>
      </c>
      <c r="F65" s="35" t="s">
        <v>648</v>
      </c>
      <c r="G65" s="35" t="s">
        <v>649</v>
      </c>
      <c r="H65" s="35" t="s">
        <v>201</v>
      </c>
      <c r="I65" s="36" t="s">
        <v>129</v>
      </c>
      <c r="J65" s="35" t="s">
        <v>129</v>
      </c>
      <c r="K65" s="35" t="s">
        <v>650</v>
      </c>
      <c r="L65" s="35" t="s">
        <v>651</v>
      </c>
      <c r="M65" s="35" t="s">
        <v>652</v>
      </c>
      <c r="N65" s="33" t="s">
        <v>370</v>
      </c>
      <c r="O65" s="33" t="s">
        <v>102</v>
      </c>
      <c r="P65" s="35" t="s">
        <v>653</v>
      </c>
      <c r="Q65" s="33" t="s">
        <v>50</v>
      </c>
      <c r="R65" s="35"/>
    </row>
    <row r="66" customFormat="false" ht="94.5" hidden="false" customHeight="true" outlineLevel="0" collapsed="false">
      <c r="B66" s="27" t="s">
        <v>81</v>
      </c>
      <c r="C66" s="27" t="s">
        <v>155</v>
      </c>
      <c r="D66" s="28" t="s">
        <v>654</v>
      </c>
      <c r="E66" s="7" t="s">
        <v>655</v>
      </c>
      <c r="F66" s="7" t="s">
        <v>656</v>
      </c>
      <c r="G66" s="7" t="s">
        <v>657</v>
      </c>
      <c r="H66" s="7" t="s">
        <v>201</v>
      </c>
      <c r="I66" s="29" t="n">
        <v>1</v>
      </c>
      <c r="J66" s="7" t="s">
        <v>129</v>
      </c>
      <c r="K66" s="7" t="s">
        <v>658</v>
      </c>
      <c r="L66" s="7" t="s">
        <v>659</v>
      </c>
      <c r="M66" s="7" t="s">
        <v>660</v>
      </c>
      <c r="N66" s="27" t="s">
        <v>129</v>
      </c>
      <c r="O66" s="27" t="s">
        <v>102</v>
      </c>
      <c r="P66" s="7" t="s">
        <v>661</v>
      </c>
      <c r="Q66" s="27" t="s">
        <v>50</v>
      </c>
      <c r="R66" s="7"/>
    </row>
    <row r="67" customFormat="false" ht="94.5" hidden="false" customHeight="true" outlineLevel="0" collapsed="false">
      <c r="B67" s="30" t="s">
        <v>81</v>
      </c>
      <c r="C67" s="30" t="s">
        <v>155</v>
      </c>
      <c r="D67" s="31" t="s">
        <v>662</v>
      </c>
      <c r="E67" s="9" t="s">
        <v>663</v>
      </c>
      <c r="F67" s="9" t="s">
        <v>664</v>
      </c>
      <c r="G67" s="9" t="s">
        <v>665</v>
      </c>
      <c r="H67" s="9" t="s">
        <v>201</v>
      </c>
      <c r="I67" s="32" t="s">
        <v>129</v>
      </c>
      <c r="J67" s="9" t="s">
        <v>129</v>
      </c>
      <c r="K67" s="9" t="s">
        <v>646</v>
      </c>
      <c r="L67" s="9" t="s">
        <v>404</v>
      </c>
      <c r="M67" s="9" t="s">
        <v>666</v>
      </c>
      <c r="N67" s="30" t="s">
        <v>370</v>
      </c>
      <c r="O67" s="30" t="s">
        <v>102</v>
      </c>
      <c r="P67" s="9" t="s">
        <v>667</v>
      </c>
      <c r="Q67" s="30" t="s">
        <v>50</v>
      </c>
      <c r="R67" s="9"/>
    </row>
    <row r="68" customFormat="false" ht="51" hidden="false" customHeight="true" outlineLevel="0" collapsed="false">
      <c r="B68" s="27" t="s">
        <v>81</v>
      </c>
      <c r="C68" s="27" t="s">
        <v>155</v>
      </c>
      <c r="D68" s="28" t="s">
        <v>668</v>
      </c>
      <c r="E68" s="7" t="s">
        <v>669</v>
      </c>
      <c r="F68" s="7" t="s">
        <v>670</v>
      </c>
      <c r="G68" s="7" t="s">
        <v>671</v>
      </c>
      <c r="H68" s="7" t="s">
        <v>672</v>
      </c>
      <c r="I68" s="29" t="s">
        <v>129</v>
      </c>
      <c r="J68" s="7" t="s">
        <v>129</v>
      </c>
      <c r="K68" s="7" t="s">
        <v>673</v>
      </c>
      <c r="L68" s="7" t="s">
        <v>397</v>
      </c>
      <c r="M68" s="7" t="s">
        <v>129</v>
      </c>
      <c r="N68" s="27" t="s">
        <v>129</v>
      </c>
      <c r="O68" s="27" t="s">
        <v>102</v>
      </c>
      <c r="P68" s="7" t="s">
        <v>674</v>
      </c>
      <c r="Q68" s="27" t="s">
        <v>50</v>
      </c>
      <c r="R68" s="7"/>
    </row>
    <row r="69" customFormat="false" ht="108.75" hidden="false" customHeight="true" outlineLevel="0" collapsed="false">
      <c r="B69" s="30" t="s">
        <v>81</v>
      </c>
      <c r="C69" s="30" t="s">
        <v>413</v>
      </c>
      <c r="D69" s="31" t="s">
        <v>675</v>
      </c>
      <c r="E69" s="9" t="s">
        <v>676</v>
      </c>
      <c r="F69" s="9" t="s">
        <v>677</v>
      </c>
      <c r="G69" s="9" t="s">
        <v>678</v>
      </c>
      <c r="H69" s="9" t="s">
        <v>672</v>
      </c>
      <c r="I69" s="32" t="n">
        <v>1</v>
      </c>
      <c r="J69" s="9" t="s">
        <v>129</v>
      </c>
      <c r="K69" s="9" t="s">
        <v>429</v>
      </c>
      <c r="L69" s="9" t="s">
        <v>679</v>
      </c>
      <c r="M69" s="9" t="s">
        <v>680</v>
      </c>
      <c r="N69" s="30" t="s">
        <v>129</v>
      </c>
      <c r="O69" s="30" t="s">
        <v>103</v>
      </c>
      <c r="P69" s="9" t="s">
        <v>681</v>
      </c>
      <c r="Q69" s="30" t="s">
        <v>50</v>
      </c>
      <c r="R69" s="9"/>
    </row>
    <row r="70" customFormat="false" ht="79.5" hidden="false" customHeight="true" outlineLevel="0" collapsed="false">
      <c r="B70" s="27" t="s">
        <v>81</v>
      </c>
      <c r="C70" s="27" t="s">
        <v>413</v>
      </c>
      <c r="D70" s="28" t="s">
        <v>682</v>
      </c>
      <c r="E70" s="7" t="s">
        <v>683</v>
      </c>
      <c r="F70" s="7" t="s">
        <v>684</v>
      </c>
      <c r="G70" s="7" t="s">
        <v>685</v>
      </c>
      <c r="H70" s="7" t="s">
        <v>206</v>
      </c>
      <c r="I70" s="29" t="n">
        <v>1</v>
      </c>
      <c r="J70" s="7" t="s">
        <v>129</v>
      </c>
      <c r="K70" s="7" t="s">
        <v>686</v>
      </c>
      <c r="L70" s="7" t="s">
        <v>687</v>
      </c>
      <c r="M70" s="7" t="s">
        <v>688</v>
      </c>
      <c r="N70" s="27" t="s">
        <v>129</v>
      </c>
      <c r="O70" s="27" t="s">
        <v>103</v>
      </c>
      <c r="P70" s="7" t="s">
        <v>689</v>
      </c>
      <c r="Q70" s="27" t="s">
        <v>50</v>
      </c>
      <c r="R70" s="7"/>
    </row>
    <row r="71" customFormat="false" ht="51" hidden="false" customHeight="true" outlineLevel="0" collapsed="false">
      <c r="B71" s="30" t="s">
        <v>81</v>
      </c>
      <c r="C71" s="30" t="s">
        <v>206</v>
      </c>
      <c r="D71" s="31" t="s">
        <v>690</v>
      </c>
      <c r="E71" s="9" t="s">
        <v>691</v>
      </c>
      <c r="F71" s="9" t="s">
        <v>692</v>
      </c>
      <c r="G71" s="9" t="s">
        <v>693</v>
      </c>
      <c r="H71" s="9" t="s">
        <v>201</v>
      </c>
      <c r="I71" s="32" t="n">
        <v>3</v>
      </c>
      <c r="J71" s="9" t="s">
        <v>129</v>
      </c>
      <c r="K71" s="9" t="s">
        <v>694</v>
      </c>
      <c r="L71" s="9" t="s">
        <v>695</v>
      </c>
      <c r="M71" s="9" t="s">
        <v>696</v>
      </c>
      <c r="N71" s="30" t="s">
        <v>129</v>
      </c>
      <c r="O71" s="30" t="s">
        <v>103</v>
      </c>
      <c r="P71" s="9" t="s">
        <v>697</v>
      </c>
      <c r="Q71" s="30" t="s">
        <v>50</v>
      </c>
      <c r="R71" s="9"/>
    </row>
    <row r="72" customFormat="false" ht="108.75" hidden="false" customHeight="true" outlineLevel="0" collapsed="false">
      <c r="B72" s="27" t="s">
        <v>81</v>
      </c>
      <c r="C72" s="27" t="s">
        <v>206</v>
      </c>
      <c r="D72" s="28" t="s">
        <v>698</v>
      </c>
      <c r="E72" s="7" t="s">
        <v>699</v>
      </c>
      <c r="F72" s="7" t="s">
        <v>700</v>
      </c>
      <c r="G72" s="7" t="s">
        <v>701</v>
      </c>
      <c r="H72" s="7" t="s">
        <v>206</v>
      </c>
      <c r="I72" s="29" t="s">
        <v>129</v>
      </c>
      <c r="J72" s="7" t="s">
        <v>129</v>
      </c>
      <c r="K72" s="7" t="s">
        <v>702</v>
      </c>
      <c r="L72" s="7" t="s">
        <v>703</v>
      </c>
      <c r="M72" s="7" t="s">
        <v>704</v>
      </c>
      <c r="N72" s="27" t="s">
        <v>129</v>
      </c>
      <c r="O72" s="27" t="s">
        <v>705</v>
      </c>
      <c r="P72" s="7" t="s">
        <v>706</v>
      </c>
      <c r="Q72" s="27" t="s">
        <v>50</v>
      </c>
      <c r="R72" s="7"/>
    </row>
    <row r="73" customFormat="false" ht="138" hidden="false" customHeight="true" outlineLevel="0" collapsed="false">
      <c r="B73" s="30" t="s">
        <v>81</v>
      </c>
      <c r="C73" s="30" t="s">
        <v>206</v>
      </c>
      <c r="D73" s="31" t="s">
        <v>707</v>
      </c>
      <c r="E73" s="9" t="s">
        <v>708</v>
      </c>
      <c r="F73" s="9" t="s">
        <v>709</v>
      </c>
      <c r="G73" s="9" t="s">
        <v>710</v>
      </c>
      <c r="H73" s="9" t="s">
        <v>711</v>
      </c>
      <c r="I73" s="32" t="n">
        <v>5</v>
      </c>
      <c r="J73" s="9" t="s">
        <v>129</v>
      </c>
      <c r="K73" s="9" t="s">
        <v>712</v>
      </c>
      <c r="L73" s="9" t="s">
        <v>713</v>
      </c>
      <c r="M73" s="9" t="s">
        <v>714</v>
      </c>
      <c r="N73" s="30" t="s">
        <v>370</v>
      </c>
      <c r="O73" s="30" t="s">
        <v>103</v>
      </c>
      <c r="P73" s="9" t="s">
        <v>715</v>
      </c>
      <c r="Q73" s="30" t="s">
        <v>50</v>
      </c>
      <c r="R73" s="9"/>
    </row>
    <row r="74" customFormat="false" ht="94.5" hidden="false" customHeight="true" outlineLevel="0" collapsed="false">
      <c r="B74" s="27" t="s">
        <v>81</v>
      </c>
      <c r="C74" s="27" t="s">
        <v>413</v>
      </c>
      <c r="D74" s="28" t="s">
        <v>716</v>
      </c>
      <c r="E74" s="7" t="s">
        <v>717</v>
      </c>
      <c r="F74" s="7" t="s">
        <v>718</v>
      </c>
      <c r="G74" s="7" t="s">
        <v>719</v>
      </c>
      <c r="H74" s="7" t="s">
        <v>672</v>
      </c>
      <c r="I74" s="29" t="n">
        <v>3</v>
      </c>
      <c r="J74" s="7" t="s">
        <v>129</v>
      </c>
      <c r="K74" s="7" t="s">
        <v>429</v>
      </c>
      <c r="L74" s="7" t="s">
        <v>720</v>
      </c>
      <c r="M74" s="7" t="s">
        <v>721</v>
      </c>
      <c r="N74" s="27" t="s">
        <v>129</v>
      </c>
      <c r="O74" s="27" t="s">
        <v>103</v>
      </c>
      <c r="P74" s="7" t="s">
        <v>722</v>
      </c>
      <c r="Q74" s="27" t="s">
        <v>50</v>
      </c>
      <c r="R74" s="7"/>
    </row>
    <row r="75" customFormat="false" ht="108.75" hidden="false" customHeight="true" outlineLevel="0" collapsed="false">
      <c r="B75" s="30" t="s">
        <v>81</v>
      </c>
      <c r="C75" s="30" t="s">
        <v>572</v>
      </c>
      <c r="D75" s="31" t="s">
        <v>723</v>
      </c>
      <c r="E75" s="9" t="s">
        <v>724</v>
      </c>
      <c r="F75" s="9" t="s">
        <v>725</v>
      </c>
      <c r="G75" s="9" t="s">
        <v>726</v>
      </c>
      <c r="H75" s="9" t="s">
        <v>672</v>
      </c>
      <c r="I75" s="32" t="s">
        <v>129</v>
      </c>
      <c r="J75" s="9" t="s">
        <v>129</v>
      </c>
      <c r="K75" s="9" t="s">
        <v>727</v>
      </c>
      <c r="L75" s="9" t="s">
        <v>582</v>
      </c>
      <c r="M75" s="9" t="s">
        <v>129</v>
      </c>
      <c r="N75" s="30" t="s">
        <v>129</v>
      </c>
      <c r="O75" s="30" t="s">
        <v>728</v>
      </c>
      <c r="P75" s="9" t="s">
        <v>729</v>
      </c>
      <c r="Q75" s="30" t="s">
        <v>50</v>
      </c>
      <c r="R75" s="9"/>
    </row>
    <row r="76" customFormat="false" ht="51" hidden="false" customHeight="true" outlineLevel="0" collapsed="false">
      <c r="B76" s="27" t="s">
        <v>81</v>
      </c>
      <c r="C76" s="27" t="s">
        <v>572</v>
      </c>
      <c r="D76" s="28" t="s">
        <v>730</v>
      </c>
      <c r="E76" s="7" t="s">
        <v>731</v>
      </c>
      <c r="F76" s="7" t="s">
        <v>732</v>
      </c>
      <c r="G76" s="7" t="s">
        <v>733</v>
      </c>
      <c r="H76" s="7" t="s">
        <v>672</v>
      </c>
      <c r="I76" s="29" t="n">
        <v>3</v>
      </c>
      <c r="J76" s="7" t="s">
        <v>129</v>
      </c>
      <c r="K76" s="7" t="s">
        <v>734</v>
      </c>
      <c r="L76" s="7" t="s">
        <v>438</v>
      </c>
      <c r="M76" s="7" t="s">
        <v>735</v>
      </c>
      <c r="N76" s="27" t="s">
        <v>129</v>
      </c>
      <c r="O76" s="27" t="s">
        <v>103</v>
      </c>
      <c r="P76" s="7" t="s">
        <v>736</v>
      </c>
      <c r="Q76" s="27" t="s">
        <v>50</v>
      </c>
      <c r="R76" s="7"/>
    </row>
    <row r="77" customFormat="false" ht="51" hidden="false" customHeight="true" outlineLevel="0" collapsed="false">
      <c r="B77" s="30" t="s">
        <v>81</v>
      </c>
      <c r="C77" s="30" t="s">
        <v>572</v>
      </c>
      <c r="D77" s="31" t="s">
        <v>737</v>
      </c>
      <c r="E77" s="9" t="s">
        <v>738</v>
      </c>
      <c r="F77" s="9" t="s">
        <v>739</v>
      </c>
      <c r="G77" s="9" t="s">
        <v>740</v>
      </c>
      <c r="H77" s="9" t="s">
        <v>672</v>
      </c>
      <c r="I77" s="32" t="n">
        <v>1</v>
      </c>
      <c r="J77" s="9" t="s">
        <v>129</v>
      </c>
      <c r="K77" s="9" t="s">
        <v>561</v>
      </c>
      <c r="L77" s="9" t="s">
        <v>723</v>
      </c>
      <c r="M77" s="9" t="s">
        <v>741</v>
      </c>
      <c r="N77" s="30" t="s">
        <v>129</v>
      </c>
      <c r="O77" s="30" t="s">
        <v>103</v>
      </c>
      <c r="P77" s="9" t="s">
        <v>742</v>
      </c>
      <c r="Q77" s="30" t="s">
        <v>50</v>
      </c>
      <c r="R77" s="9"/>
    </row>
    <row r="78" customFormat="false" ht="51" hidden="false" customHeight="true" outlineLevel="0" collapsed="false">
      <c r="B78" s="27" t="s">
        <v>81</v>
      </c>
      <c r="C78" s="27" t="s">
        <v>256</v>
      </c>
      <c r="D78" s="28" t="s">
        <v>743</v>
      </c>
      <c r="E78" s="7" t="s">
        <v>744</v>
      </c>
      <c r="F78" s="7" t="s">
        <v>745</v>
      </c>
      <c r="G78" s="7" t="s">
        <v>746</v>
      </c>
      <c r="H78" s="7" t="s">
        <v>125</v>
      </c>
      <c r="I78" s="29" t="s">
        <v>129</v>
      </c>
      <c r="J78" s="7" t="s">
        <v>129</v>
      </c>
      <c r="K78" s="7" t="s">
        <v>747</v>
      </c>
      <c r="L78" s="7" t="s">
        <v>276</v>
      </c>
      <c r="M78" s="7" t="s">
        <v>748</v>
      </c>
      <c r="N78" s="27" t="s">
        <v>370</v>
      </c>
      <c r="O78" s="27" t="s">
        <v>749</v>
      </c>
      <c r="P78" s="7" t="s">
        <v>750</v>
      </c>
      <c r="Q78" s="27" t="s">
        <v>50</v>
      </c>
      <c r="R78" s="7"/>
    </row>
    <row r="79" customFormat="false" ht="65.25" hidden="false" customHeight="true" outlineLevel="0" collapsed="false">
      <c r="B79" s="30" t="s">
        <v>81</v>
      </c>
      <c r="C79" s="30" t="s">
        <v>256</v>
      </c>
      <c r="D79" s="31" t="s">
        <v>751</v>
      </c>
      <c r="E79" s="9" t="s">
        <v>752</v>
      </c>
      <c r="F79" s="9" t="s">
        <v>753</v>
      </c>
      <c r="G79" s="9" t="s">
        <v>754</v>
      </c>
      <c r="H79" s="9" t="s">
        <v>125</v>
      </c>
      <c r="I79" s="32" t="s">
        <v>129</v>
      </c>
      <c r="J79" s="9" t="s">
        <v>129</v>
      </c>
      <c r="K79" s="9" t="s">
        <v>755</v>
      </c>
      <c r="L79" s="9" t="s">
        <v>552</v>
      </c>
      <c r="M79" s="9" t="s">
        <v>129</v>
      </c>
      <c r="N79" s="30" t="s">
        <v>129</v>
      </c>
      <c r="O79" s="30" t="s">
        <v>102</v>
      </c>
      <c r="P79" s="9" t="s">
        <v>756</v>
      </c>
      <c r="Q79" s="30" t="s">
        <v>50</v>
      </c>
      <c r="R79" s="9"/>
    </row>
    <row r="80" customFormat="false" ht="51" hidden="false" customHeight="true" outlineLevel="0" collapsed="false">
      <c r="B80" s="27" t="s">
        <v>81</v>
      </c>
      <c r="C80" s="27" t="s">
        <v>188</v>
      </c>
      <c r="D80" s="28" t="s">
        <v>757</v>
      </c>
      <c r="E80" s="7" t="s">
        <v>758</v>
      </c>
      <c r="F80" s="7" t="s">
        <v>759</v>
      </c>
      <c r="G80" s="7" t="s">
        <v>760</v>
      </c>
      <c r="H80" s="7" t="s">
        <v>125</v>
      </c>
      <c r="I80" s="29" t="n">
        <v>1</v>
      </c>
      <c r="J80" s="7" t="s">
        <v>129</v>
      </c>
      <c r="K80" s="7" t="s">
        <v>761</v>
      </c>
      <c r="L80" s="7" t="s">
        <v>762</v>
      </c>
      <c r="M80" s="7" t="s">
        <v>763</v>
      </c>
      <c r="N80" s="27" t="s">
        <v>129</v>
      </c>
      <c r="O80" s="27" t="s">
        <v>102</v>
      </c>
      <c r="P80" s="7" t="s">
        <v>764</v>
      </c>
      <c r="Q80" s="27" t="s">
        <v>50</v>
      </c>
      <c r="R80" s="7"/>
    </row>
    <row r="81" customFormat="false" ht="51" hidden="false" customHeight="true" outlineLevel="0" collapsed="false">
      <c r="B81" s="30" t="s">
        <v>81</v>
      </c>
      <c r="C81" s="30" t="s">
        <v>188</v>
      </c>
      <c r="D81" s="31" t="s">
        <v>765</v>
      </c>
      <c r="E81" s="9" t="s">
        <v>766</v>
      </c>
      <c r="F81" s="9" t="s">
        <v>767</v>
      </c>
      <c r="G81" s="9" t="s">
        <v>768</v>
      </c>
      <c r="H81" s="9" t="s">
        <v>125</v>
      </c>
      <c r="I81" s="32" t="s">
        <v>129</v>
      </c>
      <c r="J81" s="9" t="s">
        <v>129</v>
      </c>
      <c r="K81" s="9" t="s">
        <v>250</v>
      </c>
      <c r="L81" s="9" t="s">
        <v>769</v>
      </c>
      <c r="M81" s="9" t="s">
        <v>770</v>
      </c>
      <c r="N81" s="30" t="s">
        <v>129</v>
      </c>
      <c r="O81" s="30" t="s">
        <v>102</v>
      </c>
      <c r="P81" s="9" t="s">
        <v>771</v>
      </c>
      <c r="Q81" s="30" t="s">
        <v>50</v>
      </c>
      <c r="R81" s="9"/>
    </row>
    <row r="82" customFormat="false" ht="51" hidden="false" customHeight="true" outlineLevel="0" collapsed="false">
      <c r="B82" s="23" t="s">
        <v>82</v>
      </c>
      <c r="C82" s="23" t="s">
        <v>348</v>
      </c>
      <c r="D82" s="24" t="s">
        <v>361</v>
      </c>
      <c r="E82" s="25" t="s">
        <v>772</v>
      </c>
      <c r="F82" s="25" t="s">
        <v>773</v>
      </c>
      <c r="G82" s="25" t="s">
        <v>774</v>
      </c>
      <c r="H82" s="25" t="s">
        <v>775</v>
      </c>
      <c r="I82" s="26" t="n">
        <v>3</v>
      </c>
      <c r="J82" s="25" t="s">
        <v>129</v>
      </c>
      <c r="K82" s="25" t="s">
        <v>344</v>
      </c>
      <c r="L82" s="25" t="s">
        <v>776</v>
      </c>
      <c r="M82" s="25" t="s">
        <v>777</v>
      </c>
      <c r="N82" s="23" t="s">
        <v>129</v>
      </c>
      <c r="O82" s="23" t="s">
        <v>103</v>
      </c>
      <c r="P82" s="25" t="s">
        <v>778</v>
      </c>
      <c r="Q82" s="23" t="s">
        <v>50</v>
      </c>
      <c r="R82" s="25"/>
    </row>
    <row r="83" customFormat="false" ht="36" hidden="false" customHeight="true" outlineLevel="0" collapsed="false">
      <c r="B83" s="27" t="s">
        <v>82</v>
      </c>
      <c r="C83" s="27" t="s">
        <v>348</v>
      </c>
      <c r="D83" s="28" t="s">
        <v>779</v>
      </c>
      <c r="E83" s="7" t="s">
        <v>780</v>
      </c>
      <c r="F83" s="7" t="s">
        <v>781</v>
      </c>
      <c r="G83" s="7" t="s">
        <v>782</v>
      </c>
      <c r="H83" s="7" t="s">
        <v>783</v>
      </c>
      <c r="I83" s="29" t="n">
        <v>3</v>
      </c>
      <c r="J83" s="7" t="s">
        <v>129</v>
      </c>
      <c r="K83" s="7" t="s">
        <v>344</v>
      </c>
      <c r="L83" s="7" t="s">
        <v>361</v>
      </c>
      <c r="M83" s="7" t="s">
        <v>784</v>
      </c>
      <c r="N83" s="27" t="s">
        <v>129</v>
      </c>
      <c r="O83" s="27" t="s">
        <v>103</v>
      </c>
      <c r="P83" s="7" t="s">
        <v>785</v>
      </c>
      <c r="Q83" s="27" t="s">
        <v>50</v>
      </c>
      <c r="R83" s="7"/>
    </row>
    <row r="84" customFormat="false" ht="51" hidden="false" customHeight="true" outlineLevel="0" collapsed="false">
      <c r="B84" s="30" t="s">
        <v>82</v>
      </c>
      <c r="C84" s="30" t="s">
        <v>348</v>
      </c>
      <c r="D84" s="31" t="s">
        <v>786</v>
      </c>
      <c r="E84" s="9" t="s">
        <v>787</v>
      </c>
      <c r="F84" s="9" t="s">
        <v>788</v>
      </c>
      <c r="G84" s="9" t="s">
        <v>789</v>
      </c>
      <c r="H84" s="9" t="s">
        <v>125</v>
      </c>
      <c r="I84" s="32" t="s">
        <v>129</v>
      </c>
      <c r="J84" s="9" t="s">
        <v>129</v>
      </c>
      <c r="K84" s="9" t="s">
        <v>361</v>
      </c>
      <c r="L84" s="9" t="s">
        <v>790</v>
      </c>
      <c r="M84" s="9" t="s">
        <v>129</v>
      </c>
      <c r="N84" s="30" t="s">
        <v>129</v>
      </c>
      <c r="O84" s="30" t="s">
        <v>102</v>
      </c>
      <c r="P84" s="9" t="s">
        <v>791</v>
      </c>
      <c r="Q84" s="30" t="s">
        <v>50</v>
      </c>
      <c r="R84" s="9"/>
    </row>
    <row r="85" customFormat="false" ht="51" hidden="false" customHeight="true" outlineLevel="0" collapsed="false">
      <c r="B85" s="27" t="s">
        <v>82</v>
      </c>
      <c r="C85" s="27" t="s">
        <v>348</v>
      </c>
      <c r="D85" s="28" t="s">
        <v>792</v>
      </c>
      <c r="E85" s="7" t="s">
        <v>793</v>
      </c>
      <c r="F85" s="7" t="s">
        <v>794</v>
      </c>
      <c r="G85" s="7" t="s">
        <v>795</v>
      </c>
      <c r="H85" s="7" t="s">
        <v>796</v>
      </c>
      <c r="I85" s="29" t="s">
        <v>129</v>
      </c>
      <c r="J85" s="7" t="s">
        <v>129</v>
      </c>
      <c r="K85" s="7" t="s">
        <v>797</v>
      </c>
      <c r="L85" s="7" t="s">
        <v>798</v>
      </c>
      <c r="M85" s="7" t="s">
        <v>129</v>
      </c>
      <c r="N85" s="27" t="s">
        <v>129</v>
      </c>
      <c r="O85" s="27" t="s">
        <v>102</v>
      </c>
      <c r="P85" s="7" t="s">
        <v>799</v>
      </c>
      <c r="Q85" s="27" t="s">
        <v>50</v>
      </c>
      <c r="R85" s="7"/>
    </row>
    <row r="86" customFormat="false" ht="123" hidden="false" customHeight="true" outlineLevel="0" collapsed="false">
      <c r="B86" s="30" t="s">
        <v>82</v>
      </c>
      <c r="C86" s="30" t="s">
        <v>329</v>
      </c>
      <c r="D86" s="31" t="s">
        <v>344</v>
      </c>
      <c r="E86" s="9" t="s">
        <v>800</v>
      </c>
      <c r="F86" s="9" t="s">
        <v>801</v>
      </c>
      <c r="G86" s="9" t="s">
        <v>802</v>
      </c>
      <c r="H86" s="9" t="s">
        <v>796</v>
      </c>
      <c r="I86" s="32" t="n">
        <v>9</v>
      </c>
      <c r="J86" s="9" t="s">
        <v>129</v>
      </c>
      <c r="K86" s="9" t="s">
        <v>361</v>
      </c>
      <c r="L86" s="9" t="s">
        <v>803</v>
      </c>
      <c r="M86" s="9" t="s">
        <v>784</v>
      </c>
      <c r="N86" s="30" t="s">
        <v>129</v>
      </c>
      <c r="O86" s="30" t="s">
        <v>103</v>
      </c>
      <c r="P86" s="9" t="s">
        <v>804</v>
      </c>
      <c r="Q86" s="30" t="s">
        <v>50</v>
      </c>
      <c r="R86" s="9"/>
    </row>
    <row r="87" customFormat="false" ht="51" hidden="false" customHeight="true" outlineLevel="0" collapsed="false">
      <c r="B87" s="27" t="s">
        <v>82</v>
      </c>
      <c r="C87" s="27" t="s">
        <v>329</v>
      </c>
      <c r="D87" s="28" t="s">
        <v>805</v>
      </c>
      <c r="E87" s="7" t="s">
        <v>806</v>
      </c>
      <c r="F87" s="7" t="s">
        <v>807</v>
      </c>
      <c r="G87" s="7" t="s">
        <v>808</v>
      </c>
      <c r="H87" s="7" t="s">
        <v>809</v>
      </c>
      <c r="I87" s="29" t="n">
        <v>4</v>
      </c>
      <c r="J87" s="7" t="s">
        <v>129</v>
      </c>
      <c r="K87" s="7" t="s">
        <v>810</v>
      </c>
      <c r="L87" s="7" t="s">
        <v>811</v>
      </c>
      <c r="M87" s="7" t="s">
        <v>812</v>
      </c>
      <c r="N87" s="27" t="s">
        <v>129</v>
      </c>
      <c r="O87" s="27" t="s">
        <v>104</v>
      </c>
      <c r="P87" s="7" t="s">
        <v>813</v>
      </c>
      <c r="Q87" s="27" t="s">
        <v>50</v>
      </c>
      <c r="R87" s="7"/>
    </row>
    <row r="88" customFormat="false" ht="51" hidden="false" customHeight="true" outlineLevel="0" collapsed="false">
      <c r="B88" s="30" t="s">
        <v>82</v>
      </c>
      <c r="C88" s="30" t="s">
        <v>348</v>
      </c>
      <c r="D88" s="31" t="s">
        <v>814</v>
      </c>
      <c r="E88" s="9" t="s">
        <v>815</v>
      </c>
      <c r="F88" s="9" t="s">
        <v>816</v>
      </c>
      <c r="G88" s="9" t="s">
        <v>817</v>
      </c>
      <c r="H88" s="9" t="s">
        <v>818</v>
      </c>
      <c r="I88" s="32" t="n">
        <v>1</v>
      </c>
      <c r="J88" s="9" t="s">
        <v>129</v>
      </c>
      <c r="K88" s="9" t="s">
        <v>805</v>
      </c>
      <c r="L88" s="9" t="s">
        <v>819</v>
      </c>
      <c r="M88" s="9" t="s">
        <v>820</v>
      </c>
      <c r="N88" s="30" t="s">
        <v>129</v>
      </c>
      <c r="O88" s="30" t="s">
        <v>821</v>
      </c>
      <c r="P88" s="9" t="s">
        <v>822</v>
      </c>
      <c r="Q88" s="30" t="s">
        <v>50</v>
      </c>
      <c r="R88" s="9"/>
    </row>
    <row r="89" customFormat="false" ht="79.5" hidden="false" customHeight="true" outlineLevel="0" collapsed="false">
      <c r="B89" s="27" t="s">
        <v>82</v>
      </c>
      <c r="C89" s="27" t="s">
        <v>348</v>
      </c>
      <c r="D89" s="28" t="s">
        <v>823</v>
      </c>
      <c r="E89" s="7" t="s">
        <v>824</v>
      </c>
      <c r="F89" s="7" t="s">
        <v>825</v>
      </c>
      <c r="G89" s="7" t="s">
        <v>826</v>
      </c>
      <c r="H89" s="7" t="s">
        <v>827</v>
      </c>
      <c r="I89" s="29" t="n">
        <v>4</v>
      </c>
      <c r="J89" s="7" t="s">
        <v>129</v>
      </c>
      <c r="K89" s="7" t="s">
        <v>828</v>
      </c>
      <c r="L89" s="7" t="s">
        <v>829</v>
      </c>
      <c r="M89" s="7" t="s">
        <v>812</v>
      </c>
      <c r="N89" s="27" t="s">
        <v>129</v>
      </c>
      <c r="O89" s="27" t="s">
        <v>830</v>
      </c>
      <c r="P89" s="7" t="s">
        <v>831</v>
      </c>
      <c r="Q89" s="27" t="s">
        <v>50</v>
      </c>
      <c r="R89" s="7"/>
    </row>
    <row r="90" customFormat="false" ht="36" hidden="false" customHeight="true" outlineLevel="0" collapsed="false">
      <c r="B90" s="30" t="s">
        <v>82</v>
      </c>
      <c r="C90" s="30" t="s">
        <v>348</v>
      </c>
      <c r="D90" s="31" t="s">
        <v>832</v>
      </c>
      <c r="E90" s="9" t="s">
        <v>833</v>
      </c>
      <c r="F90" s="9" t="s">
        <v>834</v>
      </c>
      <c r="G90" s="9" t="s">
        <v>835</v>
      </c>
      <c r="H90" s="9" t="s">
        <v>809</v>
      </c>
      <c r="I90" s="32" t="n">
        <v>2</v>
      </c>
      <c r="J90" s="9" t="s">
        <v>129</v>
      </c>
      <c r="K90" s="9" t="s">
        <v>805</v>
      </c>
      <c r="L90" s="9" t="s">
        <v>814</v>
      </c>
      <c r="M90" s="9" t="s">
        <v>812</v>
      </c>
      <c r="N90" s="30" t="s">
        <v>129</v>
      </c>
      <c r="O90" s="30" t="s">
        <v>104</v>
      </c>
      <c r="P90" s="9" t="s">
        <v>836</v>
      </c>
      <c r="Q90" s="30" t="s">
        <v>50</v>
      </c>
      <c r="R90" s="9"/>
    </row>
    <row r="91" customFormat="false" ht="65.25" hidden="false" customHeight="true" outlineLevel="0" collapsed="false">
      <c r="B91" s="27" t="s">
        <v>82</v>
      </c>
      <c r="C91" s="27" t="s">
        <v>348</v>
      </c>
      <c r="D91" s="28" t="s">
        <v>837</v>
      </c>
      <c r="E91" s="7" t="s">
        <v>838</v>
      </c>
      <c r="F91" s="7" t="s">
        <v>839</v>
      </c>
      <c r="G91" s="7" t="s">
        <v>840</v>
      </c>
      <c r="H91" s="7" t="s">
        <v>841</v>
      </c>
      <c r="I91" s="29" t="s">
        <v>129</v>
      </c>
      <c r="J91" s="7" t="s">
        <v>129</v>
      </c>
      <c r="K91" s="7" t="s">
        <v>842</v>
      </c>
      <c r="L91" s="7" t="s">
        <v>843</v>
      </c>
      <c r="M91" s="7" t="s">
        <v>129</v>
      </c>
      <c r="N91" s="27" t="s">
        <v>129</v>
      </c>
      <c r="O91" s="27" t="s">
        <v>821</v>
      </c>
      <c r="P91" s="7" t="s">
        <v>844</v>
      </c>
      <c r="Q91" s="27" t="s">
        <v>50</v>
      </c>
      <c r="R91" s="7"/>
    </row>
    <row r="92" customFormat="false" ht="51" hidden="false" customHeight="true" outlineLevel="0" collapsed="false">
      <c r="B92" s="30" t="s">
        <v>82</v>
      </c>
      <c r="C92" s="30" t="s">
        <v>329</v>
      </c>
      <c r="D92" s="31" t="s">
        <v>506</v>
      </c>
      <c r="E92" s="9" t="s">
        <v>845</v>
      </c>
      <c r="F92" s="9" t="s">
        <v>846</v>
      </c>
      <c r="G92" s="9" t="s">
        <v>847</v>
      </c>
      <c r="H92" s="9" t="s">
        <v>809</v>
      </c>
      <c r="I92" s="32" t="n">
        <v>2</v>
      </c>
      <c r="J92" s="9" t="s">
        <v>129</v>
      </c>
      <c r="K92" s="9" t="s">
        <v>814</v>
      </c>
      <c r="L92" s="9" t="s">
        <v>848</v>
      </c>
      <c r="M92" s="9" t="s">
        <v>812</v>
      </c>
      <c r="N92" s="30" t="s">
        <v>129</v>
      </c>
      <c r="O92" s="30" t="s">
        <v>104</v>
      </c>
      <c r="P92" s="9" t="s">
        <v>849</v>
      </c>
      <c r="Q92" s="30" t="s">
        <v>50</v>
      </c>
      <c r="R92" s="9"/>
    </row>
    <row r="93" customFormat="false" ht="51" hidden="false" customHeight="true" outlineLevel="0" collapsed="false">
      <c r="B93" s="27" t="s">
        <v>82</v>
      </c>
      <c r="C93" s="27" t="s">
        <v>348</v>
      </c>
      <c r="D93" s="28" t="s">
        <v>850</v>
      </c>
      <c r="E93" s="7" t="s">
        <v>851</v>
      </c>
      <c r="F93" s="7" t="s">
        <v>852</v>
      </c>
      <c r="G93" s="7" t="s">
        <v>853</v>
      </c>
      <c r="H93" s="7" t="s">
        <v>854</v>
      </c>
      <c r="I93" s="29" t="n">
        <v>1</v>
      </c>
      <c r="J93" s="7" t="s">
        <v>129</v>
      </c>
      <c r="K93" s="7" t="s">
        <v>855</v>
      </c>
      <c r="L93" s="7" t="s">
        <v>856</v>
      </c>
      <c r="M93" s="7" t="s">
        <v>812</v>
      </c>
      <c r="N93" s="27" t="s">
        <v>129</v>
      </c>
      <c r="O93" s="27" t="s">
        <v>857</v>
      </c>
      <c r="P93" s="7" t="s">
        <v>858</v>
      </c>
      <c r="Q93" s="27" t="s">
        <v>50</v>
      </c>
      <c r="R93" s="7"/>
    </row>
    <row r="94" customFormat="false" ht="51" hidden="false" customHeight="true" outlineLevel="0" collapsed="false">
      <c r="B94" s="30" t="s">
        <v>82</v>
      </c>
      <c r="C94" s="30" t="s">
        <v>329</v>
      </c>
      <c r="D94" s="31" t="s">
        <v>345</v>
      </c>
      <c r="E94" s="9" t="s">
        <v>859</v>
      </c>
      <c r="F94" s="9" t="s">
        <v>860</v>
      </c>
      <c r="G94" s="9" t="s">
        <v>861</v>
      </c>
      <c r="H94" s="9" t="s">
        <v>862</v>
      </c>
      <c r="I94" s="32" t="n">
        <v>1</v>
      </c>
      <c r="J94" s="9" t="s">
        <v>129</v>
      </c>
      <c r="K94" s="9" t="s">
        <v>863</v>
      </c>
      <c r="L94" s="9" t="s">
        <v>864</v>
      </c>
      <c r="M94" s="9" t="s">
        <v>346</v>
      </c>
      <c r="N94" s="30" t="s">
        <v>129</v>
      </c>
      <c r="O94" s="30" t="s">
        <v>103</v>
      </c>
      <c r="P94" s="9" t="s">
        <v>865</v>
      </c>
      <c r="Q94" s="30" t="s">
        <v>50</v>
      </c>
      <c r="R94" s="9"/>
    </row>
    <row r="95" customFormat="false" ht="123" hidden="false" customHeight="true" outlineLevel="0" collapsed="false">
      <c r="B95" s="27" t="s">
        <v>82</v>
      </c>
      <c r="C95" s="27" t="s">
        <v>348</v>
      </c>
      <c r="D95" s="28" t="s">
        <v>866</v>
      </c>
      <c r="E95" s="7" t="s">
        <v>867</v>
      </c>
      <c r="F95" s="7" t="s">
        <v>868</v>
      </c>
      <c r="G95" s="7" t="s">
        <v>869</v>
      </c>
      <c r="H95" s="7" t="s">
        <v>870</v>
      </c>
      <c r="I95" s="29" t="s">
        <v>129</v>
      </c>
      <c r="J95" s="7" t="s">
        <v>129</v>
      </c>
      <c r="K95" s="7" t="s">
        <v>871</v>
      </c>
      <c r="L95" s="7" t="s">
        <v>872</v>
      </c>
      <c r="M95" s="7" t="s">
        <v>129</v>
      </c>
      <c r="N95" s="27" t="s">
        <v>129</v>
      </c>
      <c r="O95" s="27" t="s">
        <v>102</v>
      </c>
      <c r="P95" s="7" t="s">
        <v>873</v>
      </c>
      <c r="Q95" s="27" t="s">
        <v>50</v>
      </c>
      <c r="R95" s="7"/>
    </row>
    <row r="96" customFormat="false" ht="51" hidden="false" customHeight="true" outlineLevel="0" collapsed="false">
      <c r="B96" s="30" t="s">
        <v>82</v>
      </c>
      <c r="C96" s="30" t="s">
        <v>348</v>
      </c>
      <c r="D96" s="31" t="s">
        <v>161</v>
      </c>
      <c r="E96" s="9" t="s">
        <v>874</v>
      </c>
      <c r="F96" s="9" t="s">
        <v>875</v>
      </c>
      <c r="G96" s="9" t="s">
        <v>876</v>
      </c>
      <c r="H96" s="9" t="s">
        <v>870</v>
      </c>
      <c r="I96" s="32" t="s">
        <v>129</v>
      </c>
      <c r="J96" s="9" t="s">
        <v>129</v>
      </c>
      <c r="K96" s="9" t="s">
        <v>877</v>
      </c>
      <c r="L96" s="9" t="s">
        <v>878</v>
      </c>
      <c r="M96" s="9" t="s">
        <v>129</v>
      </c>
      <c r="N96" s="30" t="s">
        <v>129</v>
      </c>
      <c r="O96" s="30" t="s">
        <v>102</v>
      </c>
      <c r="P96" s="9" t="s">
        <v>879</v>
      </c>
      <c r="Q96" s="30" t="s">
        <v>50</v>
      </c>
      <c r="R96" s="9"/>
    </row>
    <row r="97" customFormat="false" ht="36" hidden="false" customHeight="true" outlineLevel="0" collapsed="false">
      <c r="B97" s="27" t="s">
        <v>82</v>
      </c>
      <c r="C97" s="27" t="s">
        <v>348</v>
      </c>
      <c r="D97" s="28" t="s">
        <v>878</v>
      </c>
      <c r="E97" s="7" t="s">
        <v>880</v>
      </c>
      <c r="F97" s="7" t="s">
        <v>881</v>
      </c>
      <c r="G97" s="7" t="s">
        <v>882</v>
      </c>
      <c r="H97" s="7" t="s">
        <v>870</v>
      </c>
      <c r="I97" s="29" t="s">
        <v>129</v>
      </c>
      <c r="J97" s="7" t="s">
        <v>129</v>
      </c>
      <c r="K97" s="7" t="s">
        <v>883</v>
      </c>
      <c r="L97" s="7" t="s">
        <v>296</v>
      </c>
      <c r="M97" s="7" t="s">
        <v>129</v>
      </c>
      <c r="N97" s="27" t="s">
        <v>129</v>
      </c>
      <c r="O97" s="27" t="s">
        <v>102</v>
      </c>
      <c r="P97" s="7" t="s">
        <v>884</v>
      </c>
      <c r="Q97" s="27" t="s">
        <v>50</v>
      </c>
      <c r="R97" s="7"/>
    </row>
    <row r="98" customFormat="false" ht="79.5" hidden="false" customHeight="true" outlineLevel="0" collapsed="false">
      <c r="B98" s="30" t="s">
        <v>82</v>
      </c>
      <c r="C98" s="30" t="s">
        <v>348</v>
      </c>
      <c r="D98" s="31" t="s">
        <v>885</v>
      </c>
      <c r="E98" s="9" t="s">
        <v>886</v>
      </c>
      <c r="F98" s="9" t="s">
        <v>887</v>
      </c>
      <c r="G98" s="9" t="s">
        <v>888</v>
      </c>
      <c r="H98" s="9" t="s">
        <v>889</v>
      </c>
      <c r="I98" s="32" t="s">
        <v>129</v>
      </c>
      <c r="J98" s="9" t="s">
        <v>129</v>
      </c>
      <c r="K98" s="9" t="s">
        <v>797</v>
      </c>
      <c r="L98" s="9" t="s">
        <v>890</v>
      </c>
      <c r="M98" s="9" t="s">
        <v>129</v>
      </c>
      <c r="N98" s="30" t="s">
        <v>129</v>
      </c>
      <c r="O98" s="30" t="s">
        <v>102</v>
      </c>
      <c r="P98" s="9" t="s">
        <v>891</v>
      </c>
      <c r="Q98" s="30" t="s">
        <v>50</v>
      </c>
      <c r="R98" s="9"/>
    </row>
    <row r="99" customFormat="false" ht="65.25" hidden="false" customHeight="true" outlineLevel="0" collapsed="false">
      <c r="B99" s="27" t="s">
        <v>82</v>
      </c>
      <c r="C99" s="27" t="s">
        <v>348</v>
      </c>
      <c r="D99" s="28" t="s">
        <v>892</v>
      </c>
      <c r="E99" s="7" t="s">
        <v>893</v>
      </c>
      <c r="F99" s="7" t="s">
        <v>894</v>
      </c>
      <c r="G99" s="7" t="s">
        <v>895</v>
      </c>
      <c r="H99" s="7" t="s">
        <v>896</v>
      </c>
      <c r="I99" s="29" t="s">
        <v>129</v>
      </c>
      <c r="J99" s="7" t="s">
        <v>129</v>
      </c>
      <c r="K99" s="7" t="s">
        <v>897</v>
      </c>
      <c r="L99" s="7" t="s">
        <v>898</v>
      </c>
      <c r="M99" s="7" t="s">
        <v>899</v>
      </c>
      <c r="N99" s="27" t="s">
        <v>129</v>
      </c>
      <c r="O99" s="27" t="s">
        <v>102</v>
      </c>
      <c r="P99" s="7" t="s">
        <v>900</v>
      </c>
      <c r="Q99" s="27" t="s">
        <v>50</v>
      </c>
      <c r="R99" s="7"/>
    </row>
    <row r="100" customFormat="false" ht="79.5" hidden="false" customHeight="true" outlineLevel="0" collapsed="false">
      <c r="B100" s="30" t="s">
        <v>82</v>
      </c>
      <c r="C100" s="30" t="s">
        <v>500</v>
      </c>
      <c r="D100" s="31" t="s">
        <v>901</v>
      </c>
      <c r="E100" s="9" t="s">
        <v>902</v>
      </c>
      <c r="F100" s="9" t="s">
        <v>903</v>
      </c>
      <c r="G100" s="9" t="s">
        <v>904</v>
      </c>
      <c r="H100" s="9" t="s">
        <v>905</v>
      </c>
      <c r="I100" s="32" t="s">
        <v>129</v>
      </c>
      <c r="J100" s="9" t="s">
        <v>129</v>
      </c>
      <c r="K100" s="9" t="s">
        <v>871</v>
      </c>
      <c r="L100" s="9" t="s">
        <v>906</v>
      </c>
      <c r="M100" s="9" t="s">
        <v>812</v>
      </c>
      <c r="N100" s="30" t="s">
        <v>129</v>
      </c>
      <c r="O100" s="30" t="s">
        <v>102</v>
      </c>
      <c r="P100" s="9" t="s">
        <v>907</v>
      </c>
      <c r="Q100" s="30" t="s">
        <v>50</v>
      </c>
      <c r="R100" s="9"/>
    </row>
    <row r="101" customFormat="false" ht="79.5" hidden="false" customHeight="true" outlineLevel="0" collapsed="false">
      <c r="B101" s="27" t="s">
        <v>82</v>
      </c>
      <c r="C101" s="27" t="s">
        <v>500</v>
      </c>
      <c r="D101" s="28" t="s">
        <v>713</v>
      </c>
      <c r="E101" s="7" t="s">
        <v>908</v>
      </c>
      <c r="F101" s="7" t="s">
        <v>909</v>
      </c>
      <c r="G101" s="7" t="s">
        <v>910</v>
      </c>
      <c r="H101" s="7" t="s">
        <v>905</v>
      </c>
      <c r="I101" s="29" t="n">
        <v>3</v>
      </c>
      <c r="J101" s="7" t="s">
        <v>129</v>
      </c>
      <c r="K101" s="7" t="s">
        <v>911</v>
      </c>
      <c r="L101" s="7" t="s">
        <v>912</v>
      </c>
      <c r="M101" s="7" t="s">
        <v>913</v>
      </c>
      <c r="N101" s="27" t="s">
        <v>129</v>
      </c>
      <c r="O101" s="27" t="s">
        <v>103</v>
      </c>
      <c r="P101" s="7" t="s">
        <v>914</v>
      </c>
      <c r="Q101" s="27" t="s">
        <v>50</v>
      </c>
      <c r="R101" s="7"/>
    </row>
    <row r="102" customFormat="false" ht="65.25" hidden="false" customHeight="true" outlineLevel="0" collapsed="false">
      <c r="B102" s="30" t="s">
        <v>82</v>
      </c>
      <c r="C102" s="30" t="s">
        <v>572</v>
      </c>
      <c r="D102" s="31" t="s">
        <v>915</v>
      </c>
      <c r="E102" s="9" t="s">
        <v>916</v>
      </c>
      <c r="F102" s="9" t="s">
        <v>917</v>
      </c>
      <c r="G102" s="9" t="s">
        <v>918</v>
      </c>
      <c r="H102" s="9" t="s">
        <v>206</v>
      </c>
      <c r="I102" s="32" t="n">
        <v>1</v>
      </c>
      <c r="J102" s="9" t="s">
        <v>129</v>
      </c>
      <c r="K102" s="9" t="s">
        <v>919</v>
      </c>
      <c r="L102" s="9" t="s">
        <v>292</v>
      </c>
      <c r="M102" s="9" t="s">
        <v>913</v>
      </c>
      <c r="N102" s="30" t="s">
        <v>129</v>
      </c>
      <c r="O102" s="30" t="s">
        <v>103</v>
      </c>
      <c r="P102" s="9" t="s">
        <v>920</v>
      </c>
      <c r="Q102" s="30" t="s">
        <v>50</v>
      </c>
      <c r="R102" s="9"/>
    </row>
    <row r="103" customFormat="false" ht="123" hidden="false" customHeight="true" outlineLevel="0" collapsed="false">
      <c r="B103" s="27" t="s">
        <v>82</v>
      </c>
      <c r="C103" s="27" t="s">
        <v>572</v>
      </c>
      <c r="D103" s="28" t="s">
        <v>921</v>
      </c>
      <c r="E103" s="7" t="s">
        <v>922</v>
      </c>
      <c r="F103" s="7" t="s">
        <v>923</v>
      </c>
      <c r="G103" s="7" t="s">
        <v>924</v>
      </c>
      <c r="H103" s="7" t="s">
        <v>925</v>
      </c>
      <c r="I103" s="29" t="n">
        <v>3</v>
      </c>
      <c r="J103" s="7" t="s">
        <v>129</v>
      </c>
      <c r="K103" s="7" t="s">
        <v>926</v>
      </c>
      <c r="L103" s="7" t="s">
        <v>927</v>
      </c>
      <c r="M103" s="7" t="s">
        <v>928</v>
      </c>
      <c r="N103" s="27" t="s">
        <v>129</v>
      </c>
      <c r="O103" s="27" t="s">
        <v>104</v>
      </c>
      <c r="P103" s="7" t="s">
        <v>929</v>
      </c>
      <c r="Q103" s="27" t="s">
        <v>50</v>
      </c>
      <c r="R103" s="7"/>
    </row>
    <row r="104" customFormat="false" ht="65.25" hidden="false" customHeight="true" outlineLevel="0" collapsed="false">
      <c r="B104" s="30" t="s">
        <v>82</v>
      </c>
      <c r="C104" s="30" t="s">
        <v>572</v>
      </c>
      <c r="D104" s="31" t="s">
        <v>930</v>
      </c>
      <c r="E104" s="9" t="s">
        <v>931</v>
      </c>
      <c r="F104" s="9" t="s">
        <v>932</v>
      </c>
      <c r="G104" s="9" t="s">
        <v>933</v>
      </c>
      <c r="H104" s="9" t="s">
        <v>934</v>
      </c>
      <c r="I104" s="32" t="n">
        <v>9</v>
      </c>
      <c r="J104" s="9" t="s">
        <v>129</v>
      </c>
      <c r="K104" s="9" t="s">
        <v>935</v>
      </c>
      <c r="L104" s="9" t="s">
        <v>582</v>
      </c>
      <c r="M104" s="9" t="s">
        <v>936</v>
      </c>
      <c r="N104" s="30" t="s">
        <v>129</v>
      </c>
      <c r="O104" s="30" t="s">
        <v>103</v>
      </c>
      <c r="P104" s="9" t="s">
        <v>937</v>
      </c>
      <c r="Q104" s="30" t="s">
        <v>50</v>
      </c>
      <c r="R104" s="9"/>
    </row>
    <row r="105" customFormat="false" ht="51" hidden="false" customHeight="true" outlineLevel="0" collapsed="false">
      <c r="B105" s="27" t="s">
        <v>82</v>
      </c>
      <c r="C105" s="27" t="s">
        <v>348</v>
      </c>
      <c r="D105" s="28" t="s">
        <v>354</v>
      </c>
      <c r="E105" s="7" t="s">
        <v>938</v>
      </c>
      <c r="F105" s="7" t="s">
        <v>939</v>
      </c>
      <c r="G105" s="7" t="s">
        <v>940</v>
      </c>
      <c r="H105" s="7" t="s">
        <v>905</v>
      </c>
      <c r="I105" s="29" t="n">
        <v>3</v>
      </c>
      <c r="J105" s="7" t="s">
        <v>129</v>
      </c>
      <c r="K105" s="7" t="s">
        <v>136</v>
      </c>
      <c r="L105" s="7" t="s">
        <v>349</v>
      </c>
      <c r="M105" s="7" t="s">
        <v>770</v>
      </c>
      <c r="N105" s="27" t="s">
        <v>129</v>
      </c>
      <c r="O105" s="27" t="s">
        <v>102</v>
      </c>
      <c r="P105" s="7" t="s">
        <v>941</v>
      </c>
      <c r="Q105" s="27" t="s">
        <v>50</v>
      </c>
      <c r="R105" s="7"/>
    </row>
    <row r="106" customFormat="false" ht="65.25" hidden="false" customHeight="true" outlineLevel="0" collapsed="false">
      <c r="B106" s="30" t="s">
        <v>82</v>
      </c>
      <c r="C106" s="30" t="s">
        <v>500</v>
      </c>
      <c r="D106" s="31" t="s">
        <v>942</v>
      </c>
      <c r="E106" s="9" t="s">
        <v>943</v>
      </c>
      <c r="F106" s="9" t="s">
        <v>944</v>
      </c>
      <c r="G106" s="9" t="s">
        <v>945</v>
      </c>
      <c r="H106" s="9" t="s">
        <v>905</v>
      </c>
      <c r="I106" s="32" t="s">
        <v>129</v>
      </c>
      <c r="J106" s="9" t="s">
        <v>129</v>
      </c>
      <c r="K106" s="9" t="s">
        <v>871</v>
      </c>
      <c r="L106" s="9" t="s">
        <v>946</v>
      </c>
      <c r="M106" s="9" t="s">
        <v>770</v>
      </c>
      <c r="N106" s="30" t="s">
        <v>129</v>
      </c>
      <c r="O106" s="30" t="s">
        <v>102</v>
      </c>
      <c r="P106" s="9" t="s">
        <v>947</v>
      </c>
      <c r="Q106" s="30" t="s">
        <v>50</v>
      </c>
      <c r="R106" s="9"/>
    </row>
    <row r="107" customFormat="false" ht="65.25" hidden="false" customHeight="true" outlineLevel="0" collapsed="false">
      <c r="B107" s="27" t="s">
        <v>82</v>
      </c>
      <c r="C107" s="27" t="s">
        <v>500</v>
      </c>
      <c r="D107" s="28" t="s">
        <v>871</v>
      </c>
      <c r="E107" s="7" t="s">
        <v>948</v>
      </c>
      <c r="F107" s="7" t="s">
        <v>949</v>
      </c>
      <c r="G107" s="7" t="s">
        <v>950</v>
      </c>
      <c r="H107" s="7" t="s">
        <v>905</v>
      </c>
      <c r="I107" s="29" t="s">
        <v>129</v>
      </c>
      <c r="J107" s="7" t="s">
        <v>129</v>
      </c>
      <c r="K107" s="7" t="s">
        <v>238</v>
      </c>
      <c r="L107" s="7" t="s">
        <v>951</v>
      </c>
      <c r="M107" s="7" t="s">
        <v>952</v>
      </c>
      <c r="N107" s="27" t="s">
        <v>129</v>
      </c>
      <c r="O107" s="27" t="s">
        <v>102</v>
      </c>
      <c r="P107" s="7" t="s">
        <v>953</v>
      </c>
      <c r="Q107" s="27" t="s">
        <v>50</v>
      </c>
      <c r="R107" s="7"/>
    </row>
  </sheetData>
  <autoFilter ref="B4:R107"/>
  <mergeCells count="2">
    <mergeCell ref="B2:R2"/>
    <mergeCell ref="B3:R3"/>
  </mergeCells>
  <conditionalFormatting sqref="Q5:Q107">
    <cfRule type="cellIs" priority="2" operator="equal" aboveAverage="0" equalAverage="0" bottom="0" percent="0" rank="0" text="" dxfId="6">
      <formula>"Confirmed"</formula>
    </cfRule>
    <cfRule type="cellIs" priority="3" operator="equal" aboveAverage="0" equalAverage="0" bottom="0" percent="0" rank="0" text="" dxfId="7">
      <formula>"Correction needed"</formula>
    </cfRule>
    <cfRule type="cellIs" priority="4" operator="equal" aboveAverage="0" equalAverage="0" bottom="0" percent="0" rank="0" text="" dxfId="8">
      <formula>"Missing detail"</formula>
    </cfRule>
  </conditionalFormatting>
  <conditionalFormatting sqref="N5:N107">
    <cfRule type="expression" priority="5" aboveAverage="0" equalAverage="0" bottom="0" percent="0" rank="0" text="" dxfId="7">
      <formula>LEFT(N5,3)="Yes"</formula>
    </cfRule>
  </conditionalFormatting>
  <dataValidations count="1">
    <dataValidation allowBlank="true" errorStyle="stop" operator="between" showDropDown="false" showErrorMessage="false" showInputMessage="false" sqref="Q5:Q107" type="list">
      <formula1>"Not reviewed,Confirmed,Correction needed,Missing detail,Not a feature"</formula1>
      <formula2>0</formula2>
    </dataValidation>
  </dataValidations>
  <hyperlinks>
    <hyperlink ref="D5" r:id="rId1" display="A-01"/>
    <hyperlink ref="D6" r:id="rId2" display="A-02"/>
    <hyperlink ref="D7" r:id="rId3" display="A-03"/>
    <hyperlink ref="D8" r:id="rId4" display="A-04"/>
    <hyperlink ref="D9" r:id="rId5" display="A-05"/>
    <hyperlink ref="D10" r:id="rId6" display="A-06"/>
    <hyperlink ref="D11" r:id="rId7" display="A-07"/>
    <hyperlink ref="D12" r:id="rId8" display="A-08"/>
    <hyperlink ref="D13" r:id="rId9" display="A-09"/>
    <hyperlink ref="D14" r:id="rId10" display="A-10"/>
    <hyperlink ref="D15" r:id="rId11" display="A-11"/>
    <hyperlink ref="D16" r:id="rId12" display="A-12"/>
    <hyperlink ref="D17" r:id="rId13" display="A-13"/>
    <hyperlink ref="D18" r:id="rId14" display="A-14"/>
    <hyperlink ref="D19" r:id="rId15" display="A-15"/>
    <hyperlink ref="D20" r:id="rId16" display="A-16"/>
    <hyperlink ref="D21" r:id="rId17" display="A-17"/>
    <hyperlink ref="D22" r:id="rId18" display="A-18"/>
    <hyperlink ref="D23" r:id="rId19" display="A-19"/>
    <hyperlink ref="D24" r:id="rId20" display="A-20"/>
    <hyperlink ref="D25" r:id="rId21" display="A-21"/>
    <hyperlink ref="D26" r:id="rId22" display="A-22"/>
    <hyperlink ref="D27" r:id="rId23" display="A-23"/>
    <hyperlink ref="D28" r:id="rId24" display="A-24"/>
    <hyperlink ref="D29" r:id="rId25" display="A-25"/>
    <hyperlink ref="D30" r:id="rId26" display="A-26"/>
    <hyperlink ref="D31" r:id="rId27" display="A-27"/>
    <hyperlink ref="D32" r:id="rId28" display="A-28"/>
    <hyperlink ref="D33" r:id="rId29" display="A-29"/>
    <hyperlink ref="D34" r:id="rId30" display="A-30"/>
    <hyperlink ref="D35" r:id="rId31" display="A-31"/>
    <hyperlink ref="D36" r:id="rId32" display="P-01"/>
    <hyperlink ref="D37" r:id="rId33" display="P-02"/>
    <hyperlink ref="D38" r:id="rId34" display="P-03"/>
    <hyperlink ref="D39" r:id="rId35" display="P-04"/>
    <hyperlink ref="D40" r:id="rId36" display="P-05"/>
    <hyperlink ref="D41" r:id="rId37" display="P-06"/>
    <hyperlink ref="D42" r:id="rId38" display="P-07"/>
    <hyperlink ref="D43" r:id="rId39" display="P-08"/>
    <hyperlink ref="D44" r:id="rId40" display="P-09"/>
    <hyperlink ref="D45" r:id="rId41" display="P-10"/>
    <hyperlink ref="D46" r:id="rId42" display="P-11"/>
    <hyperlink ref="D47" r:id="rId43" display="P-12"/>
    <hyperlink ref="D48" r:id="rId44" display="P-13"/>
    <hyperlink ref="D49" r:id="rId45" display="U-01"/>
    <hyperlink ref="D50" r:id="rId46" display="U-02"/>
    <hyperlink ref="D51" r:id="rId47" display="U-03"/>
    <hyperlink ref="D52" r:id="rId48" display="U-04"/>
    <hyperlink ref="D53" r:id="rId49" display="U-05"/>
    <hyperlink ref="D54" r:id="rId50" display="U-06"/>
    <hyperlink ref="D55" r:id="rId51" display="U-07"/>
    <hyperlink ref="D56" r:id="rId52" display="U-08"/>
    <hyperlink ref="D57" r:id="rId53" display="U-09"/>
    <hyperlink ref="D58" r:id="rId54" display="U-10"/>
    <hyperlink ref="D59" r:id="rId55" display="C-01"/>
    <hyperlink ref="D60" r:id="rId56" display="C-02"/>
    <hyperlink ref="D61" r:id="rId57" display="C-03"/>
    <hyperlink ref="D62" r:id="rId58" display="C-04"/>
    <hyperlink ref="D63" r:id="rId59" display="C-05"/>
    <hyperlink ref="D64" r:id="rId60" display="C-06"/>
    <hyperlink ref="D65" r:id="rId61" display="S-01"/>
    <hyperlink ref="D66" r:id="rId62" display="S-02"/>
    <hyperlink ref="D67" r:id="rId63" display="S-03"/>
    <hyperlink ref="D68" r:id="rId64" display="S-04"/>
    <hyperlink ref="D69" r:id="rId65" display="S-05"/>
    <hyperlink ref="D70" r:id="rId66" display="S-06"/>
    <hyperlink ref="D71" r:id="rId67" display="S-07"/>
    <hyperlink ref="D72" r:id="rId68" display="S-08"/>
    <hyperlink ref="D73" r:id="rId69" display="S-09"/>
    <hyperlink ref="D74" r:id="rId70" display="S-10"/>
    <hyperlink ref="D75" r:id="rId71" display="S-11"/>
    <hyperlink ref="D76" r:id="rId72" display="S-12"/>
    <hyperlink ref="D77" r:id="rId73" display="S-13"/>
    <hyperlink ref="D78" r:id="rId74" display="S-14"/>
    <hyperlink ref="D79" r:id="rId75" display="S-15"/>
    <hyperlink ref="D80" r:id="rId76" display="S-16"/>
    <hyperlink ref="D81" r:id="rId77" display="S-17"/>
    <hyperlink ref="D82" r:id="rId78" display="X-01"/>
    <hyperlink ref="D83" r:id="rId79" display="X-02"/>
    <hyperlink ref="D84" r:id="rId80" display="X-03"/>
    <hyperlink ref="D85" r:id="rId81" display="X-04"/>
    <hyperlink ref="D86" r:id="rId82" display="X-05"/>
    <hyperlink ref="D87" r:id="rId83" display="X-06"/>
    <hyperlink ref="D88" r:id="rId84" display="X-07"/>
    <hyperlink ref="D89" r:id="rId85" display="X-08"/>
    <hyperlink ref="D90" r:id="rId86" display="X-09"/>
    <hyperlink ref="D91" r:id="rId87" display="X-10"/>
    <hyperlink ref="D92" r:id="rId88" display="X-11"/>
    <hyperlink ref="D93" r:id="rId89" display="X-12"/>
    <hyperlink ref="D94" r:id="rId90" display="X-13"/>
    <hyperlink ref="D95" r:id="rId91" display="X-14"/>
    <hyperlink ref="D96" r:id="rId92" display="X-15"/>
    <hyperlink ref="D97" r:id="rId93" display="X-16"/>
    <hyperlink ref="D98" r:id="rId94" display="X-17"/>
    <hyperlink ref="D99" r:id="rId95" display="X-18"/>
    <hyperlink ref="D100" r:id="rId96" display="X-19"/>
    <hyperlink ref="D101" r:id="rId97" display="X-20"/>
    <hyperlink ref="D102" r:id="rId98" display="X-21"/>
    <hyperlink ref="D103" r:id="rId99" display="X-22"/>
    <hyperlink ref="D104" r:id="rId100" display="X-23"/>
    <hyperlink ref="D105" r:id="rId101" display="X-24"/>
    <hyperlink ref="D106" r:id="rId102" display="X-25"/>
    <hyperlink ref="D107" r:id="rId103" display="X-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1:J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46"/>
    <col collapsed="false" customWidth="true" hidden="false" outlineLevel="0" max="5" min="5" style="1" width="60"/>
    <col collapsed="false" customWidth="true" hidden="false" outlineLevel="0" max="6" min="6" style="1" width="20"/>
    <col collapsed="false" customWidth="true" hidden="false" outlineLevel="0" max="7" min="7" style="1" width="40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1" t="s">
        <v>954</v>
      </c>
      <c r="C2" s="21"/>
      <c r="D2" s="21"/>
      <c r="E2" s="21"/>
      <c r="F2" s="21"/>
      <c r="G2" s="21"/>
      <c r="H2" s="21"/>
      <c r="I2" s="21"/>
      <c r="J2" s="21"/>
    </row>
    <row r="3" customFormat="false" ht="13.5" hidden="false" customHeight="true" outlineLevel="0" collapsed="false">
      <c r="B3" s="22" t="s">
        <v>955</v>
      </c>
      <c r="C3" s="22"/>
      <c r="D3" s="22"/>
      <c r="E3" s="22"/>
      <c r="F3" s="22"/>
      <c r="G3" s="22"/>
      <c r="H3" s="22"/>
      <c r="I3" s="22"/>
      <c r="J3" s="22"/>
    </row>
    <row r="4" customFormat="false" ht="30" hidden="false" customHeight="true" outlineLevel="0" collapsed="false">
      <c r="B4" s="6" t="s">
        <v>956</v>
      </c>
      <c r="C4" s="6" t="s">
        <v>85</v>
      </c>
      <c r="D4" s="6" t="s">
        <v>957</v>
      </c>
      <c r="E4" s="6" t="s">
        <v>958</v>
      </c>
      <c r="F4" s="6" t="s">
        <v>959</v>
      </c>
      <c r="G4" s="6" t="s">
        <v>960</v>
      </c>
      <c r="H4" s="6" t="s">
        <v>48</v>
      </c>
      <c r="I4" s="6" t="s">
        <v>961</v>
      </c>
      <c r="J4" s="6" t="s">
        <v>962</v>
      </c>
    </row>
    <row r="5" customFormat="false" ht="79.5" hidden="false" customHeight="true" outlineLevel="0" collapsed="false">
      <c r="B5" s="37" t="s">
        <v>812</v>
      </c>
      <c r="C5" s="37" t="s">
        <v>92</v>
      </c>
      <c r="D5" s="7" t="s">
        <v>963</v>
      </c>
      <c r="E5" s="7" t="s">
        <v>964</v>
      </c>
      <c r="F5" s="27" t="s">
        <v>965</v>
      </c>
      <c r="G5" s="7"/>
      <c r="H5" s="27" t="s">
        <v>88</v>
      </c>
      <c r="I5" s="27"/>
      <c r="J5" s="38"/>
    </row>
    <row r="6" customFormat="false" ht="79.5" hidden="false" customHeight="true" outlineLevel="0" collapsed="false">
      <c r="B6" s="39" t="s">
        <v>770</v>
      </c>
      <c r="C6" s="39" t="s">
        <v>94</v>
      </c>
      <c r="D6" s="9" t="s">
        <v>966</v>
      </c>
      <c r="E6" s="9" t="s">
        <v>967</v>
      </c>
      <c r="F6" s="30" t="s">
        <v>968</v>
      </c>
      <c r="G6" s="9"/>
      <c r="H6" s="30" t="s">
        <v>88</v>
      </c>
      <c r="I6" s="30"/>
      <c r="J6" s="40"/>
    </row>
    <row r="7" customFormat="false" ht="36" hidden="false" customHeight="true" outlineLevel="0" collapsed="false">
      <c r="B7" s="37" t="s">
        <v>777</v>
      </c>
      <c r="C7" s="37" t="s">
        <v>92</v>
      </c>
      <c r="D7" s="7" t="s">
        <v>969</v>
      </c>
      <c r="E7" s="7" t="s">
        <v>970</v>
      </c>
      <c r="F7" s="27" t="s">
        <v>971</v>
      </c>
      <c r="G7" s="7"/>
      <c r="H7" s="27" t="s">
        <v>88</v>
      </c>
      <c r="I7" s="27"/>
      <c r="J7" s="38"/>
    </row>
    <row r="8" customFormat="false" ht="94.5" hidden="false" customHeight="true" outlineLevel="0" collapsed="false">
      <c r="B8" s="39" t="s">
        <v>899</v>
      </c>
      <c r="C8" s="39" t="s">
        <v>94</v>
      </c>
      <c r="D8" s="9" t="s">
        <v>972</v>
      </c>
      <c r="E8" s="9" t="s">
        <v>973</v>
      </c>
      <c r="F8" s="30" t="s">
        <v>974</v>
      </c>
      <c r="G8" s="9"/>
      <c r="H8" s="30" t="s">
        <v>88</v>
      </c>
      <c r="I8" s="30"/>
      <c r="J8" s="40"/>
    </row>
    <row r="9" customFormat="false" ht="65.25" hidden="false" customHeight="true" outlineLevel="0" collapsed="false">
      <c r="B9" s="37" t="s">
        <v>735</v>
      </c>
      <c r="C9" s="37" t="s">
        <v>92</v>
      </c>
      <c r="D9" s="7" t="s">
        <v>975</v>
      </c>
      <c r="E9" s="7" t="s">
        <v>976</v>
      </c>
      <c r="F9" s="27" t="s">
        <v>977</v>
      </c>
      <c r="G9" s="7"/>
      <c r="H9" s="27" t="s">
        <v>88</v>
      </c>
      <c r="I9" s="27"/>
      <c r="J9" s="38"/>
    </row>
    <row r="10" customFormat="false" ht="79.5" hidden="false" customHeight="true" outlineLevel="0" collapsed="false">
      <c r="B10" s="39" t="s">
        <v>913</v>
      </c>
      <c r="C10" s="39" t="s">
        <v>92</v>
      </c>
      <c r="D10" s="9" t="s">
        <v>978</v>
      </c>
      <c r="E10" s="9" t="s">
        <v>979</v>
      </c>
      <c r="F10" s="30" t="s">
        <v>980</v>
      </c>
      <c r="G10" s="9"/>
      <c r="H10" s="30" t="s">
        <v>88</v>
      </c>
      <c r="I10" s="30"/>
      <c r="J10" s="40"/>
    </row>
    <row r="11" customFormat="false" ht="94.5" hidden="false" customHeight="true" outlineLevel="0" collapsed="false">
      <c r="B11" s="37" t="s">
        <v>346</v>
      </c>
      <c r="C11" s="37" t="s">
        <v>92</v>
      </c>
      <c r="D11" s="7" t="s">
        <v>981</v>
      </c>
      <c r="E11" s="7" t="s">
        <v>982</v>
      </c>
      <c r="F11" s="27" t="s">
        <v>983</v>
      </c>
      <c r="G11" s="7"/>
      <c r="H11" s="27" t="s">
        <v>88</v>
      </c>
      <c r="I11" s="27"/>
      <c r="J11" s="38"/>
    </row>
    <row r="12" customFormat="false" ht="65.25" hidden="false" customHeight="true" outlineLevel="0" collapsed="false">
      <c r="B12" s="39" t="s">
        <v>984</v>
      </c>
      <c r="C12" s="39" t="s">
        <v>94</v>
      </c>
      <c r="D12" s="9" t="s">
        <v>985</v>
      </c>
      <c r="E12" s="9" t="s">
        <v>986</v>
      </c>
      <c r="F12" s="30" t="s">
        <v>930</v>
      </c>
      <c r="G12" s="9"/>
      <c r="H12" s="30" t="s">
        <v>88</v>
      </c>
      <c r="I12" s="30"/>
      <c r="J12" s="40"/>
    </row>
    <row r="13" customFormat="false" ht="79.5" hidden="false" customHeight="true" outlineLevel="0" collapsed="false">
      <c r="B13" s="37" t="s">
        <v>660</v>
      </c>
      <c r="C13" s="37" t="s">
        <v>96</v>
      </c>
      <c r="D13" s="7" t="s">
        <v>987</v>
      </c>
      <c r="E13" s="7" t="s">
        <v>988</v>
      </c>
      <c r="F13" s="27" t="s">
        <v>989</v>
      </c>
      <c r="G13" s="7"/>
      <c r="H13" s="27" t="s">
        <v>88</v>
      </c>
      <c r="I13" s="27"/>
      <c r="J13" s="38"/>
    </row>
    <row r="14" customFormat="false" ht="94.5" hidden="false" customHeight="true" outlineLevel="0" collapsed="false">
      <c r="B14" s="39" t="s">
        <v>666</v>
      </c>
      <c r="C14" s="39" t="s">
        <v>98</v>
      </c>
      <c r="D14" s="9" t="s">
        <v>990</v>
      </c>
      <c r="E14" s="9" t="s">
        <v>646</v>
      </c>
      <c r="F14" s="30" t="s">
        <v>646</v>
      </c>
      <c r="G14" s="9"/>
      <c r="H14" s="30" t="s">
        <v>88</v>
      </c>
      <c r="I14" s="30"/>
      <c r="J14" s="40"/>
    </row>
    <row r="15" customFormat="false" ht="79.5" hidden="false" customHeight="true" outlineLevel="0" collapsed="false">
      <c r="B15" s="37" t="s">
        <v>680</v>
      </c>
      <c r="C15" s="37" t="s">
        <v>96</v>
      </c>
      <c r="D15" s="7" t="s">
        <v>991</v>
      </c>
      <c r="E15" s="7" t="s">
        <v>992</v>
      </c>
      <c r="F15" s="27" t="s">
        <v>993</v>
      </c>
      <c r="G15" s="7"/>
      <c r="H15" s="27" t="s">
        <v>88</v>
      </c>
      <c r="I15" s="27"/>
      <c r="J15" s="38"/>
    </row>
    <row r="16" customFormat="false" ht="51" hidden="false" customHeight="true" outlineLevel="0" collapsed="false">
      <c r="B16" s="39" t="s">
        <v>696</v>
      </c>
      <c r="C16" s="39" t="s">
        <v>96</v>
      </c>
      <c r="D16" s="9" t="s">
        <v>994</v>
      </c>
      <c r="E16" s="9" t="s">
        <v>995</v>
      </c>
      <c r="F16" s="30" t="s">
        <v>996</v>
      </c>
      <c r="G16" s="9"/>
      <c r="H16" s="30" t="s">
        <v>88</v>
      </c>
      <c r="I16" s="30"/>
      <c r="J16" s="40"/>
    </row>
    <row r="17" customFormat="false" ht="65.25" hidden="false" customHeight="true" outlineLevel="0" collapsed="false">
      <c r="B17" s="37" t="s">
        <v>997</v>
      </c>
      <c r="C17" s="37" t="s">
        <v>92</v>
      </c>
      <c r="D17" s="7" t="s">
        <v>998</v>
      </c>
      <c r="E17" s="7" t="s">
        <v>999</v>
      </c>
      <c r="F17" s="27" t="s">
        <v>698</v>
      </c>
      <c r="G17" s="7"/>
      <c r="H17" s="27" t="s">
        <v>88</v>
      </c>
      <c r="I17" s="27"/>
      <c r="J17" s="38"/>
    </row>
    <row r="18" customFormat="false" ht="123" hidden="false" customHeight="true" outlineLevel="0" collapsed="false">
      <c r="B18" s="39" t="s">
        <v>1000</v>
      </c>
      <c r="C18" s="39" t="s">
        <v>98</v>
      </c>
      <c r="D18" s="9" t="s">
        <v>1001</v>
      </c>
      <c r="E18" s="9" t="s">
        <v>707</v>
      </c>
      <c r="F18" s="30" t="s">
        <v>707</v>
      </c>
      <c r="G18" s="9"/>
      <c r="H18" s="30" t="s">
        <v>88</v>
      </c>
      <c r="I18" s="30"/>
      <c r="J18" s="40"/>
    </row>
    <row r="19" customFormat="false" ht="79.5" hidden="false" customHeight="true" outlineLevel="0" collapsed="false">
      <c r="B19" s="37" t="s">
        <v>1002</v>
      </c>
      <c r="C19" s="37" t="s">
        <v>96</v>
      </c>
      <c r="D19" s="7" t="s">
        <v>1003</v>
      </c>
      <c r="E19" s="7" t="s">
        <v>1004</v>
      </c>
      <c r="F19" s="27" t="s">
        <v>1005</v>
      </c>
      <c r="G19" s="7"/>
      <c r="H19" s="27" t="s">
        <v>88</v>
      </c>
      <c r="I19" s="27"/>
      <c r="J19" s="38"/>
    </row>
    <row r="20" customFormat="false" ht="79.5" hidden="false" customHeight="true" outlineLevel="0" collapsed="false">
      <c r="B20" s="39" t="s">
        <v>741</v>
      </c>
      <c r="C20" s="39" t="s">
        <v>94</v>
      </c>
      <c r="D20" s="9" t="s">
        <v>1006</v>
      </c>
      <c r="E20" s="9" t="s">
        <v>1007</v>
      </c>
      <c r="F20" s="30" t="s">
        <v>1008</v>
      </c>
      <c r="G20" s="9"/>
      <c r="H20" s="30" t="s">
        <v>88</v>
      </c>
      <c r="I20" s="30"/>
      <c r="J20" s="40"/>
    </row>
    <row r="21" customFormat="false" ht="65.25" hidden="false" customHeight="true" outlineLevel="0" collapsed="false">
      <c r="B21" s="37" t="s">
        <v>748</v>
      </c>
      <c r="C21" s="37" t="s">
        <v>98</v>
      </c>
      <c r="D21" s="7" t="s">
        <v>1009</v>
      </c>
      <c r="E21" s="7" t="s">
        <v>743</v>
      </c>
      <c r="F21" s="27" t="s">
        <v>743</v>
      </c>
      <c r="G21" s="7"/>
      <c r="H21" s="27" t="s">
        <v>88</v>
      </c>
      <c r="I21" s="27"/>
      <c r="J21" s="38"/>
    </row>
    <row r="22" customFormat="false" ht="51" hidden="false" customHeight="true" outlineLevel="0" collapsed="false">
      <c r="B22" s="39" t="s">
        <v>1010</v>
      </c>
      <c r="C22" s="39" t="s">
        <v>96</v>
      </c>
      <c r="D22" s="9" t="s">
        <v>1011</v>
      </c>
      <c r="E22" s="9" t="s">
        <v>1012</v>
      </c>
      <c r="F22" s="30" t="s">
        <v>1013</v>
      </c>
      <c r="G22" s="9"/>
      <c r="H22" s="30" t="s">
        <v>88</v>
      </c>
      <c r="I22" s="30"/>
      <c r="J22" s="40"/>
    </row>
    <row r="23" customFormat="false" ht="65.25" hidden="false" customHeight="true" outlineLevel="0" collapsed="false">
      <c r="B23" s="37" t="s">
        <v>145</v>
      </c>
      <c r="C23" s="37" t="s">
        <v>94</v>
      </c>
      <c r="D23" s="7" t="s">
        <v>1014</v>
      </c>
      <c r="E23" s="7" t="s">
        <v>1015</v>
      </c>
      <c r="F23" s="27" t="s">
        <v>139</v>
      </c>
      <c r="G23" s="7"/>
      <c r="H23" s="27" t="s">
        <v>88</v>
      </c>
      <c r="I23" s="27"/>
      <c r="J23" s="38"/>
    </row>
    <row r="24" customFormat="false" ht="51" hidden="false" customHeight="true" outlineLevel="0" collapsed="false">
      <c r="B24" s="39" t="s">
        <v>153</v>
      </c>
      <c r="C24" s="39" t="s">
        <v>96</v>
      </c>
      <c r="D24" s="9" t="s">
        <v>1016</v>
      </c>
      <c r="E24" s="9" t="s">
        <v>1017</v>
      </c>
      <c r="F24" s="30" t="s">
        <v>147</v>
      </c>
      <c r="G24" s="9"/>
      <c r="H24" s="30" t="s">
        <v>88</v>
      </c>
      <c r="I24" s="30"/>
      <c r="J24" s="40"/>
    </row>
    <row r="25" customFormat="false" ht="51" hidden="false" customHeight="true" outlineLevel="0" collapsed="false">
      <c r="B25" s="37" t="s">
        <v>213</v>
      </c>
      <c r="C25" s="37" t="s">
        <v>96</v>
      </c>
      <c r="D25" s="7" t="s">
        <v>1018</v>
      </c>
      <c r="E25" s="7" t="s">
        <v>1019</v>
      </c>
      <c r="F25" s="27" t="s">
        <v>207</v>
      </c>
      <c r="G25" s="7"/>
      <c r="H25" s="27" t="s">
        <v>88</v>
      </c>
      <c r="I25" s="27"/>
      <c r="J25" s="38"/>
    </row>
    <row r="26" customFormat="false" ht="79.5" hidden="false" customHeight="true" outlineLevel="0" collapsed="false">
      <c r="B26" s="39" t="s">
        <v>230</v>
      </c>
      <c r="C26" s="39" t="s">
        <v>96</v>
      </c>
      <c r="D26" s="9" t="s">
        <v>1020</v>
      </c>
      <c r="E26" s="9" t="s">
        <v>1021</v>
      </c>
      <c r="F26" s="30" t="s">
        <v>223</v>
      </c>
      <c r="G26" s="9"/>
      <c r="H26" s="30" t="s">
        <v>88</v>
      </c>
      <c r="I26" s="30"/>
      <c r="J26" s="40"/>
    </row>
    <row r="27" customFormat="false" ht="51" hidden="false" customHeight="true" outlineLevel="0" collapsed="false">
      <c r="B27" s="37" t="s">
        <v>248</v>
      </c>
      <c r="C27" s="37" t="s">
        <v>96</v>
      </c>
      <c r="D27" s="7" t="s">
        <v>1022</v>
      </c>
      <c r="E27" s="7" t="s">
        <v>1023</v>
      </c>
      <c r="F27" s="27" t="s">
        <v>241</v>
      </c>
      <c r="G27" s="7"/>
      <c r="H27" s="27" t="s">
        <v>88</v>
      </c>
      <c r="I27" s="27"/>
      <c r="J27" s="38"/>
    </row>
    <row r="28" customFormat="false" ht="51" hidden="false" customHeight="true" outlineLevel="0" collapsed="false">
      <c r="B28" s="39" t="s">
        <v>264</v>
      </c>
      <c r="C28" s="39" t="s">
        <v>96</v>
      </c>
      <c r="D28" s="9" t="s">
        <v>1024</v>
      </c>
      <c r="E28" s="9" t="s">
        <v>1025</v>
      </c>
      <c r="F28" s="30" t="s">
        <v>257</v>
      </c>
      <c r="G28" s="9"/>
      <c r="H28" s="30" t="s">
        <v>88</v>
      </c>
      <c r="I28" s="30"/>
      <c r="J28" s="40"/>
    </row>
    <row r="29" customFormat="false" ht="65.25" hidden="false" customHeight="true" outlineLevel="0" collapsed="false">
      <c r="B29" s="37" t="s">
        <v>273</v>
      </c>
      <c r="C29" s="37" t="s">
        <v>96</v>
      </c>
      <c r="D29" s="7" t="s">
        <v>1026</v>
      </c>
      <c r="E29" s="7" t="s">
        <v>1027</v>
      </c>
      <c r="F29" s="27" t="s">
        <v>266</v>
      </c>
      <c r="G29" s="7"/>
      <c r="H29" s="27" t="s">
        <v>88</v>
      </c>
      <c r="I29" s="27"/>
      <c r="J29" s="38"/>
    </row>
    <row r="30" customFormat="false" ht="79.5" hidden="false" customHeight="true" outlineLevel="0" collapsed="false">
      <c r="B30" s="39" t="s">
        <v>284</v>
      </c>
      <c r="C30" s="39" t="s">
        <v>96</v>
      </c>
      <c r="D30" s="9" t="s">
        <v>1028</v>
      </c>
      <c r="E30" s="9" t="s">
        <v>1029</v>
      </c>
      <c r="F30" s="30" t="s">
        <v>276</v>
      </c>
      <c r="G30" s="9"/>
      <c r="H30" s="30" t="s">
        <v>88</v>
      </c>
      <c r="I30" s="30"/>
      <c r="J30" s="40"/>
    </row>
    <row r="31" customFormat="false" ht="51" hidden="false" customHeight="true" outlineLevel="0" collapsed="false">
      <c r="B31" s="37" t="s">
        <v>293</v>
      </c>
      <c r="C31" s="37" t="s">
        <v>94</v>
      </c>
      <c r="D31" s="7" t="s">
        <v>1030</v>
      </c>
      <c r="E31" s="7" t="s">
        <v>1031</v>
      </c>
      <c r="F31" s="27" t="s">
        <v>286</v>
      </c>
      <c r="G31" s="7"/>
      <c r="H31" s="27" t="s">
        <v>88</v>
      </c>
      <c r="I31" s="27"/>
      <c r="J31" s="38"/>
    </row>
    <row r="32" customFormat="false" ht="51" hidden="false" customHeight="true" outlineLevel="0" collapsed="false">
      <c r="B32" s="39" t="s">
        <v>308</v>
      </c>
      <c r="C32" s="39" t="s">
        <v>94</v>
      </c>
      <c r="D32" s="9" t="s">
        <v>1032</v>
      </c>
      <c r="E32" s="9" t="s">
        <v>1033</v>
      </c>
      <c r="F32" s="30" t="s">
        <v>283</v>
      </c>
      <c r="G32" s="9"/>
      <c r="H32" s="30" t="s">
        <v>88</v>
      </c>
      <c r="I32" s="30"/>
      <c r="J32" s="40"/>
    </row>
    <row r="33" customFormat="false" ht="65.25" hidden="false" customHeight="true" outlineLevel="0" collapsed="false">
      <c r="B33" s="37" t="s">
        <v>317</v>
      </c>
      <c r="C33" s="37" t="s">
        <v>96</v>
      </c>
      <c r="D33" s="7" t="s">
        <v>1034</v>
      </c>
      <c r="E33" s="7" t="s">
        <v>1035</v>
      </c>
      <c r="F33" s="27" t="s">
        <v>310</v>
      </c>
      <c r="G33" s="7"/>
      <c r="H33" s="27" t="s">
        <v>88</v>
      </c>
      <c r="I33" s="27"/>
      <c r="J33" s="38"/>
    </row>
    <row r="34" customFormat="false" ht="65.25" hidden="false" customHeight="true" outlineLevel="0" collapsed="false">
      <c r="B34" s="39" t="s">
        <v>337</v>
      </c>
      <c r="C34" s="39" t="s">
        <v>96</v>
      </c>
      <c r="D34" s="9" t="s">
        <v>1036</v>
      </c>
      <c r="E34" s="9" t="s">
        <v>1037</v>
      </c>
      <c r="F34" s="30" t="s">
        <v>1038</v>
      </c>
      <c r="G34" s="9"/>
      <c r="H34" s="30" t="s">
        <v>88</v>
      </c>
      <c r="I34" s="30"/>
      <c r="J34" s="40"/>
    </row>
    <row r="35" customFormat="false" ht="108.75" hidden="false" customHeight="true" outlineLevel="0" collapsed="false">
      <c r="B35" s="37" t="s">
        <v>1039</v>
      </c>
      <c r="C35" s="37" t="s">
        <v>98</v>
      </c>
      <c r="D35" s="7" t="s">
        <v>1040</v>
      </c>
      <c r="E35" s="7" t="s">
        <v>1041</v>
      </c>
      <c r="F35" s="27" t="s">
        <v>1041</v>
      </c>
      <c r="G35" s="7"/>
      <c r="H35" s="27" t="s">
        <v>88</v>
      </c>
      <c r="I35" s="27"/>
      <c r="J35" s="38"/>
    </row>
    <row r="36" customFormat="false" ht="65.25" hidden="false" customHeight="true" outlineLevel="0" collapsed="false">
      <c r="B36" s="39" t="s">
        <v>378</v>
      </c>
      <c r="C36" s="39" t="s">
        <v>92</v>
      </c>
      <c r="D36" s="9" t="s">
        <v>1042</v>
      </c>
      <c r="E36" s="9" t="s">
        <v>1043</v>
      </c>
      <c r="F36" s="30" t="s">
        <v>1044</v>
      </c>
      <c r="G36" s="9"/>
      <c r="H36" s="30" t="s">
        <v>88</v>
      </c>
      <c r="I36" s="30"/>
      <c r="J36" s="40"/>
    </row>
    <row r="37" customFormat="false" ht="138" hidden="false" customHeight="true" outlineLevel="0" collapsed="false">
      <c r="B37" s="37" t="s">
        <v>1045</v>
      </c>
      <c r="C37" s="37" t="s">
        <v>92</v>
      </c>
      <c r="D37" s="7" t="s">
        <v>1046</v>
      </c>
      <c r="E37" s="7" t="s">
        <v>1047</v>
      </c>
      <c r="F37" s="27" t="s">
        <v>1048</v>
      </c>
      <c r="G37" s="7"/>
      <c r="H37" s="27" t="s">
        <v>88</v>
      </c>
      <c r="I37" s="27"/>
      <c r="J37" s="38"/>
    </row>
    <row r="38" customFormat="false" ht="51" hidden="false" customHeight="true" outlineLevel="0" collapsed="false">
      <c r="B38" s="39" t="s">
        <v>405</v>
      </c>
      <c r="C38" s="39" t="s">
        <v>96</v>
      </c>
      <c r="D38" s="9" t="s">
        <v>1049</v>
      </c>
      <c r="E38" s="9" t="s">
        <v>1050</v>
      </c>
      <c r="F38" s="30" t="s">
        <v>397</v>
      </c>
      <c r="G38" s="9"/>
      <c r="H38" s="30" t="s">
        <v>88</v>
      </c>
      <c r="I38" s="30"/>
      <c r="J38" s="40"/>
    </row>
    <row r="39" customFormat="false" ht="65.25" hidden="false" customHeight="true" outlineLevel="0" collapsed="false">
      <c r="B39" s="37" t="s">
        <v>1051</v>
      </c>
      <c r="C39" s="37" t="s">
        <v>96</v>
      </c>
      <c r="D39" s="7" t="s">
        <v>1052</v>
      </c>
      <c r="E39" s="7" t="s">
        <v>1053</v>
      </c>
      <c r="F39" s="27" t="s">
        <v>421</v>
      </c>
      <c r="G39" s="7"/>
      <c r="H39" s="27" t="s">
        <v>88</v>
      </c>
      <c r="I39" s="27"/>
      <c r="J39" s="38"/>
    </row>
    <row r="40" customFormat="false" ht="65.25" hidden="false" customHeight="true" outlineLevel="0" collapsed="false">
      <c r="B40" s="39" t="s">
        <v>1054</v>
      </c>
      <c r="C40" s="39" t="s">
        <v>96</v>
      </c>
      <c r="D40" s="9" t="s">
        <v>1055</v>
      </c>
      <c r="E40" s="9" t="s">
        <v>1056</v>
      </c>
      <c r="F40" s="30" t="s">
        <v>429</v>
      </c>
      <c r="G40" s="9"/>
      <c r="H40" s="30" t="s">
        <v>88</v>
      </c>
      <c r="I40" s="30"/>
      <c r="J40" s="40"/>
    </row>
    <row r="41" customFormat="false" ht="51" hidden="false" customHeight="true" outlineLevel="0" collapsed="false">
      <c r="B41" s="37" t="s">
        <v>1057</v>
      </c>
      <c r="C41" s="37" t="s">
        <v>96</v>
      </c>
      <c r="D41" s="7" t="s">
        <v>1058</v>
      </c>
      <c r="E41" s="7" t="s">
        <v>1059</v>
      </c>
      <c r="F41" s="27" t="s">
        <v>429</v>
      </c>
      <c r="G41" s="7"/>
      <c r="H41" s="27" t="s">
        <v>88</v>
      </c>
      <c r="I41" s="27"/>
      <c r="J41" s="38"/>
    </row>
    <row r="42" customFormat="false" ht="51" hidden="false" customHeight="true" outlineLevel="0" collapsed="false">
      <c r="B42" s="39" t="s">
        <v>1060</v>
      </c>
      <c r="C42" s="39" t="s">
        <v>96</v>
      </c>
      <c r="D42" s="9" t="s">
        <v>1061</v>
      </c>
      <c r="E42" s="9" t="s">
        <v>1062</v>
      </c>
      <c r="F42" s="30" t="s">
        <v>445</v>
      </c>
      <c r="G42" s="9"/>
      <c r="H42" s="30" t="s">
        <v>88</v>
      </c>
      <c r="I42" s="30"/>
      <c r="J42" s="40"/>
    </row>
    <row r="43" customFormat="false" ht="94.5" hidden="false" customHeight="true" outlineLevel="0" collapsed="false">
      <c r="B43" s="37" t="s">
        <v>461</v>
      </c>
      <c r="C43" s="37" t="s">
        <v>96</v>
      </c>
      <c r="D43" s="7" t="s">
        <v>1063</v>
      </c>
      <c r="E43" s="7" t="s">
        <v>1064</v>
      </c>
      <c r="F43" s="27" t="s">
        <v>1065</v>
      </c>
      <c r="G43" s="7"/>
      <c r="H43" s="27" t="s">
        <v>88</v>
      </c>
      <c r="I43" s="27"/>
      <c r="J43" s="38"/>
    </row>
    <row r="44" customFormat="false" ht="79.5" hidden="false" customHeight="true" outlineLevel="0" collapsed="false">
      <c r="B44" s="39" t="s">
        <v>1066</v>
      </c>
      <c r="C44" s="39" t="s">
        <v>92</v>
      </c>
      <c r="D44" s="9" t="s">
        <v>1067</v>
      </c>
      <c r="E44" s="9" t="s">
        <v>1068</v>
      </c>
      <c r="F44" s="30" t="s">
        <v>471</v>
      </c>
      <c r="G44" s="9"/>
      <c r="H44" s="30" t="s">
        <v>88</v>
      </c>
      <c r="I44" s="30"/>
      <c r="J44" s="40"/>
    </row>
    <row r="45" customFormat="false" ht="51" hidden="false" customHeight="true" outlineLevel="0" collapsed="false">
      <c r="B45" s="37" t="s">
        <v>1069</v>
      </c>
      <c r="C45" s="37" t="s">
        <v>96</v>
      </c>
      <c r="D45" s="7" t="s">
        <v>1070</v>
      </c>
      <c r="E45" s="7" t="s">
        <v>1071</v>
      </c>
      <c r="F45" s="27" t="s">
        <v>1072</v>
      </c>
      <c r="G45" s="7"/>
      <c r="H45" s="27" t="s">
        <v>88</v>
      </c>
      <c r="I45" s="27"/>
      <c r="J45" s="38"/>
    </row>
    <row r="46" customFormat="false" ht="94.5" hidden="false" customHeight="true" outlineLevel="0" collapsed="false">
      <c r="B46" s="39" t="s">
        <v>1073</v>
      </c>
      <c r="C46" s="39" t="s">
        <v>98</v>
      </c>
      <c r="D46" s="9" t="s">
        <v>1074</v>
      </c>
      <c r="E46" s="9" t="s">
        <v>491</v>
      </c>
      <c r="F46" s="30" t="s">
        <v>491</v>
      </c>
      <c r="G46" s="9"/>
      <c r="H46" s="30" t="s">
        <v>88</v>
      </c>
      <c r="I46" s="30"/>
      <c r="J46" s="40"/>
    </row>
    <row r="47" customFormat="false" ht="51" hidden="false" customHeight="true" outlineLevel="0" collapsed="false">
      <c r="B47" s="37" t="s">
        <v>1075</v>
      </c>
      <c r="C47" s="37" t="s">
        <v>94</v>
      </c>
      <c r="D47" s="7" t="s">
        <v>1076</v>
      </c>
      <c r="E47" s="7" t="s">
        <v>1077</v>
      </c>
      <c r="F47" s="27" t="s">
        <v>491</v>
      </c>
      <c r="G47" s="7"/>
      <c r="H47" s="27" t="s">
        <v>88</v>
      </c>
      <c r="I47" s="27"/>
      <c r="J47" s="38"/>
    </row>
    <row r="48" customFormat="false" ht="166.5" hidden="false" customHeight="true" outlineLevel="0" collapsed="false">
      <c r="B48" s="39" t="s">
        <v>1078</v>
      </c>
      <c r="C48" s="39" t="s">
        <v>98</v>
      </c>
      <c r="D48" s="9" t="s">
        <v>1079</v>
      </c>
      <c r="E48" s="9" t="s">
        <v>1080</v>
      </c>
      <c r="F48" s="30" t="s">
        <v>1081</v>
      </c>
      <c r="G48" s="9"/>
      <c r="H48" s="30" t="s">
        <v>88</v>
      </c>
      <c r="I48" s="30"/>
      <c r="J48" s="40"/>
    </row>
    <row r="49" customFormat="false" ht="79.5" hidden="false" customHeight="true" outlineLevel="0" collapsed="false">
      <c r="B49" s="37" t="s">
        <v>1082</v>
      </c>
      <c r="C49" s="37" t="s">
        <v>98</v>
      </c>
      <c r="D49" s="7" t="s">
        <v>1083</v>
      </c>
      <c r="E49" s="7" t="s">
        <v>1084</v>
      </c>
      <c r="F49" s="27" t="s">
        <v>480</v>
      </c>
      <c r="G49" s="7"/>
      <c r="H49" s="27" t="s">
        <v>88</v>
      </c>
      <c r="I49" s="27"/>
      <c r="J49" s="38"/>
    </row>
    <row r="50" customFormat="false" ht="108.75" hidden="false" customHeight="true" outlineLevel="0" collapsed="false">
      <c r="B50" s="39" t="s">
        <v>1085</v>
      </c>
      <c r="C50" s="39" t="s">
        <v>96</v>
      </c>
      <c r="D50" s="9" t="s">
        <v>1086</v>
      </c>
      <c r="E50" s="9" t="s">
        <v>1087</v>
      </c>
      <c r="F50" s="30" t="s">
        <v>1081</v>
      </c>
      <c r="G50" s="9"/>
      <c r="H50" s="30" t="s">
        <v>88</v>
      </c>
      <c r="I50" s="30"/>
      <c r="J50" s="40"/>
    </row>
    <row r="51" customFormat="false" ht="65.25" hidden="false" customHeight="true" outlineLevel="0" collapsed="false">
      <c r="B51" s="37" t="s">
        <v>1088</v>
      </c>
      <c r="C51" s="37" t="s">
        <v>94</v>
      </c>
      <c r="D51" s="7" t="s">
        <v>1089</v>
      </c>
      <c r="E51" s="7" t="s">
        <v>1090</v>
      </c>
      <c r="F51" s="27" t="s">
        <v>480</v>
      </c>
      <c r="G51" s="7"/>
      <c r="H51" s="27" t="s">
        <v>88</v>
      </c>
      <c r="I51" s="27"/>
      <c r="J51" s="38"/>
    </row>
    <row r="52" customFormat="false" ht="65.25" hidden="false" customHeight="true" outlineLevel="0" collapsed="false">
      <c r="B52" s="39" t="s">
        <v>1091</v>
      </c>
      <c r="C52" s="39" t="s">
        <v>92</v>
      </c>
      <c r="D52" s="9" t="s">
        <v>1092</v>
      </c>
      <c r="E52" s="9" t="s">
        <v>1093</v>
      </c>
      <c r="F52" s="30" t="s">
        <v>713</v>
      </c>
      <c r="G52" s="9"/>
      <c r="H52" s="30" t="s">
        <v>88</v>
      </c>
      <c r="I52" s="30"/>
      <c r="J52" s="40"/>
    </row>
    <row r="53" customFormat="false" ht="79.5" hidden="false" customHeight="true" outlineLevel="0" collapsed="false">
      <c r="B53" s="37" t="s">
        <v>1094</v>
      </c>
      <c r="C53" s="37" t="s">
        <v>98</v>
      </c>
      <c r="D53" s="7" t="s">
        <v>1095</v>
      </c>
      <c r="E53" s="7" t="s">
        <v>1096</v>
      </c>
      <c r="F53" s="27" t="s">
        <v>501</v>
      </c>
      <c r="G53" s="7"/>
      <c r="H53" s="27" t="s">
        <v>88</v>
      </c>
      <c r="I53" s="27"/>
      <c r="J53" s="38"/>
    </row>
    <row r="54" customFormat="false" ht="65.25" hidden="false" customHeight="true" outlineLevel="0" collapsed="false">
      <c r="B54" s="39" t="s">
        <v>1097</v>
      </c>
      <c r="C54" s="39" t="s">
        <v>94</v>
      </c>
      <c r="D54" s="9" t="s">
        <v>1098</v>
      </c>
      <c r="E54" s="9" t="s">
        <v>1099</v>
      </c>
      <c r="F54" s="30" t="s">
        <v>501</v>
      </c>
      <c r="G54" s="9"/>
      <c r="H54" s="30" t="s">
        <v>88</v>
      </c>
      <c r="I54" s="30"/>
      <c r="J54" s="40"/>
    </row>
    <row r="55" customFormat="false" ht="94.5" hidden="false" customHeight="true" outlineLevel="0" collapsed="false">
      <c r="B55" s="37" t="s">
        <v>1100</v>
      </c>
      <c r="C55" s="37" t="s">
        <v>98</v>
      </c>
      <c r="D55" s="7" t="s">
        <v>1101</v>
      </c>
      <c r="E55" s="7" t="s">
        <v>1102</v>
      </c>
      <c r="F55" s="27" t="s">
        <v>1102</v>
      </c>
      <c r="G55" s="7"/>
      <c r="H55" s="27" t="s">
        <v>88</v>
      </c>
      <c r="I55" s="27"/>
      <c r="J55" s="38"/>
    </row>
    <row r="56" customFormat="false" ht="108.75" hidden="false" customHeight="true" outlineLevel="0" collapsed="false">
      <c r="B56" s="39" t="s">
        <v>553</v>
      </c>
      <c r="C56" s="39" t="s">
        <v>98</v>
      </c>
      <c r="D56" s="9" t="s">
        <v>1103</v>
      </c>
      <c r="E56" s="9" t="s">
        <v>1104</v>
      </c>
      <c r="F56" s="30" t="s">
        <v>1104</v>
      </c>
      <c r="G56" s="9"/>
      <c r="H56" s="30" t="s">
        <v>88</v>
      </c>
      <c r="I56" s="30"/>
      <c r="J56" s="40"/>
    </row>
    <row r="57" customFormat="false" ht="94.5" hidden="false" customHeight="true" outlineLevel="0" collapsed="false">
      <c r="B57" s="37" t="s">
        <v>1105</v>
      </c>
      <c r="C57" s="37" t="s">
        <v>98</v>
      </c>
      <c r="D57" s="7" t="s">
        <v>1106</v>
      </c>
      <c r="E57" s="7" t="s">
        <v>519</v>
      </c>
      <c r="F57" s="27" t="s">
        <v>519</v>
      </c>
      <c r="G57" s="7"/>
      <c r="H57" s="27" t="s">
        <v>88</v>
      </c>
      <c r="I57" s="27"/>
      <c r="J57" s="38"/>
    </row>
    <row r="58" customFormat="false" ht="94.5" hidden="false" customHeight="true" outlineLevel="0" collapsed="false">
      <c r="B58" s="39" t="s">
        <v>1107</v>
      </c>
      <c r="C58" s="39" t="s">
        <v>96</v>
      </c>
      <c r="D58" s="9" t="s">
        <v>1108</v>
      </c>
      <c r="E58" s="9" t="s">
        <v>1109</v>
      </c>
      <c r="F58" s="30" t="s">
        <v>527</v>
      </c>
      <c r="G58" s="9"/>
      <c r="H58" s="30" t="s">
        <v>88</v>
      </c>
      <c r="I58" s="30"/>
      <c r="J58" s="40"/>
    </row>
    <row r="59" customFormat="false" ht="51" hidden="false" customHeight="true" outlineLevel="0" collapsed="false">
      <c r="B59" s="37" t="s">
        <v>1110</v>
      </c>
      <c r="C59" s="37" t="s">
        <v>96</v>
      </c>
      <c r="D59" s="7" t="s">
        <v>1111</v>
      </c>
      <c r="E59" s="7" t="s">
        <v>1112</v>
      </c>
      <c r="F59" s="27" t="s">
        <v>537</v>
      </c>
      <c r="G59" s="7"/>
      <c r="H59" s="27" t="s">
        <v>88</v>
      </c>
      <c r="I59" s="27"/>
      <c r="J59" s="38"/>
    </row>
    <row r="60" customFormat="false" ht="79.5" hidden="false" customHeight="true" outlineLevel="0" collapsed="false">
      <c r="B60" s="39" t="s">
        <v>1113</v>
      </c>
      <c r="C60" s="39" t="s">
        <v>96</v>
      </c>
      <c r="D60" s="9" t="s">
        <v>1114</v>
      </c>
      <c r="E60" s="9" t="s">
        <v>1115</v>
      </c>
      <c r="F60" s="30" t="s">
        <v>537</v>
      </c>
      <c r="G60" s="9"/>
      <c r="H60" s="30" t="s">
        <v>88</v>
      </c>
      <c r="I60" s="30"/>
      <c r="J60" s="40"/>
    </row>
    <row r="61" customFormat="false" ht="79.5" hidden="false" customHeight="true" outlineLevel="0" collapsed="false">
      <c r="B61" s="37" t="s">
        <v>1116</v>
      </c>
      <c r="C61" s="37" t="s">
        <v>98</v>
      </c>
      <c r="D61" s="7" t="s">
        <v>1117</v>
      </c>
      <c r="E61" s="7" t="s">
        <v>1118</v>
      </c>
      <c r="F61" s="27" t="s">
        <v>555</v>
      </c>
      <c r="G61" s="7"/>
      <c r="H61" s="27" t="s">
        <v>88</v>
      </c>
      <c r="I61" s="27"/>
      <c r="J61" s="38"/>
    </row>
    <row r="62" customFormat="false" ht="79.5" hidden="false" customHeight="true" outlineLevel="0" collapsed="false">
      <c r="B62" s="39" t="s">
        <v>1119</v>
      </c>
      <c r="C62" s="39" t="s">
        <v>98</v>
      </c>
      <c r="D62" s="9" t="s">
        <v>1120</v>
      </c>
      <c r="E62" s="9" t="s">
        <v>555</v>
      </c>
      <c r="F62" s="30" t="s">
        <v>1072</v>
      </c>
      <c r="G62" s="9"/>
      <c r="H62" s="30" t="s">
        <v>88</v>
      </c>
      <c r="I62" s="30"/>
      <c r="J62" s="40"/>
    </row>
    <row r="63" customFormat="false" ht="94.5" hidden="false" customHeight="true" outlineLevel="0" collapsed="false">
      <c r="B63" s="37" t="s">
        <v>1121</v>
      </c>
      <c r="C63" s="37" t="s">
        <v>98</v>
      </c>
      <c r="D63" s="7" t="s">
        <v>1122</v>
      </c>
      <c r="E63" s="7" t="s">
        <v>1123</v>
      </c>
      <c r="F63" s="27" t="s">
        <v>555</v>
      </c>
      <c r="G63" s="7"/>
      <c r="H63" s="27" t="s">
        <v>88</v>
      </c>
      <c r="I63" s="27"/>
      <c r="J63" s="38"/>
    </row>
    <row r="64" customFormat="false" ht="65.25" hidden="false" customHeight="true" outlineLevel="0" collapsed="false">
      <c r="B64" s="39" t="s">
        <v>1124</v>
      </c>
      <c r="C64" s="39" t="s">
        <v>94</v>
      </c>
      <c r="D64" s="9" t="s">
        <v>1125</v>
      </c>
      <c r="E64" s="9" t="s">
        <v>1126</v>
      </c>
      <c r="F64" s="30" t="s">
        <v>1127</v>
      </c>
      <c r="G64" s="9"/>
      <c r="H64" s="30" t="s">
        <v>88</v>
      </c>
      <c r="I64" s="30"/>
      <c r="J64" s="40"/>
    </row>
    <row r="65" customFormat="false" ht="94.5" hidden="false" customHeight="true" outlineLevel="0" collapsed="false">
      <c r="B65" s="37" t="s">
        <v>1128</v>
      </c>
      <c r="C65" s="37" t="s">
        <v>94</v>
      </c>
      <c r="D65" s="7" t="s">
        <v>1129</v>
      </c>
      <c r="E65" s="7" t="s">
        <v>1130</v>
      </c>
      <c r="F65" s="27" t="s">
        <v>1131</v>
      </c>
      <c r="G65" s="7"/>
      <c r="H65" s="27" t="s">
        <v>88</v>
      </c>
      <c r="I65" s="27"/>
      <c r="J65" s="38"/>
    </row>
    <row r="66" customFormat="false" ht="138" hidden="false" customHeight="true" outlineLevel="0" collapsed="false">
      <c r="B66" s="39" t="s">
        <v>1132</v>
      </c>
      <c r="C66" s="39" t="s">
        <v>98</v>
      </c>
      <c r="D66" s="9" t="s">
        <v>1133</v>
      </c>
      <c r="E66" s="9" t="s">
        <v>582</v>
      </c>
      <c r="F66" s="30" t="s">
        <v>582</v>
      </c>
      <c r="G66" s="9"/>
      <c r="H66" s="30" t="s">
        <v>88</v>
      </c>
      <c r="I66" s="30"/>
      <c r="J66" s="40"/>
    </row>
    <row r="67" customFormat="false" ht="94.5" hidden="false" customHeight="true" outlineLevel="0" collapsed="false">
      <c r="B67" s="37" t="s">
        <v>1134</v>
      </c>
      <c r="C67" s="37" t="s">
        <v>98</v>
      </c>
      <c r="D67" s="7" t="s">
        <v>1135</v>
      </c>
      <c r="E67" s="7" t="s">
        <v>582</v>
      </c>
      <c r="F67" s="27" t="s">
        <v>582</v>
      </c>
      <c r="G67" s="7"/>
      <c r="H67" s="27" t="s">
        <v>88</v>
      </c>
      <c r="I67" s="27"/>
      <c r="J67" s="38"/>
    </row>
    <row r="68" customFormat="false" ht="94.5" hidden="false" customHeight="true" outlineLevel="0" collapsed="false">
      <c r="B68" s="39" t="s">
        <v>1136</v>
      </c>
      <c r="C68" s="39" t="s">
        <v>96</v>
      </c>
      <c r="D68" s="9" t="s">
        <v>1137</v>
      </c>
      <c r="E68" s="9" t="s">
        <v>1138</v>
      </c>
      <c r="F68" s="30" t="s">
        <v>1139</v>
      </c>
      <c r="G68" s="9"/>
      <c r="H68" s="30" t="s">
        <v>88</v>
      </c>
      <c r="I68" s="30"/>
      <c r="J68" s="40"/>
    </row>
    <row r="69" customFormat="false" ht="94.5" hidden="false" customHeight="true" outlineLevel="0" collapsed="false">
      <c r="B69" s="37" t="s">
        <v>1140</v>
      </c>
      <c r="C69" s="37" t="s">
        <v>96</v>
      </c>
      <c r="D69" s="7" t="s">
        <v>1141</v>
      </c>
      <c r="E69" s="7" t="s">
        <v>1142</v>
      </c>
      <c r="F69" s="27" t="s">
        <v>591</v>
      </c>
      <c r="G69" s="7"/>
      <c r="H69" s="27" t="s">
        <v>88</v>
      </c>
      <c r="I69" s="27"/>
      <c r="J69" s="38"/>
    </row>
    <row r="70" customFormat="false" ht="108.75" hidden="false" customHeight="true" outlineLevel="0" collapsed="false">
      <c r="B70" s="39" t="s">
        <v>1143</v>
      </c>
      <c r="C70" s="39" t="s">
        <v>98</v>
      </c>
      <c r="D70" s="9" t="s">
        <v>1144</v>
      </c>
      <c r="E70" s="9" t="s">
        <v>1145</v>
      </c>
      <c r="F70" s="30" t="s">
        <v>1146</v>
      </c>
      <c r="G70" s="9"/>
      <c r="H70" s="30" t="s">
        <v>88</v>
      </c>
      <c r="I70" s="30"/>
      <c r="J70" s="40"/>
    </row>
    <row r="71" customFormat="false" ht="94.5" hidden="false" customHeight="true" outlineLevel="0" collapsed="false">
      <c r="B71" s="37" t="s">
        <v>1147</v>
      </c>
      <c r="C71" s="37" t="s">
        <v>94</v>
      </c>
      <c r="D71" s="7" t="s">
        <v>1148</v>
      </c>
      <c r="E71" s="7" t="s">
        <v>1149</v>
      </c>
      <c r="F71" s="27" t="s">
        <v>552</v>
      </c>
      <c r="G71" s="7"/>
      <c r="H71" s="27" t="s">
        <v>88</v>
      </c>
      <c r="I71" s="27"/>
      <c r="J71" s="38"/>
    </row>
    <row r="72" customFormat="false" ht="79.5" hidden="false" customHeight="true" outlineLevel="0" collapsed="false">
      <c r="B72" s="39" t="s">
        <v>1150</v>
      </c>
      <c r="C72" s="39" t="s">
        <v>94</v>
      </c>
      <c r="D72" s="9" t="s">
        <v>1151</v>
      </c>
      <c r="E72" s="9" t="s">
        <v>1152</v>
      </c>
      <c r="F72" s="30" t="s">
        <v>1153</v>
      </c>
      <c r="G72" s="9"/>
      <c r="H72" s="30" t="s">
        <v>88</v>
      </c>
      <c r="I72" s="30"/>
      <c r="J72" s="40"/>
    </row>
    <row r="73" customFormat="false" ht="94.5" hidden="false" customHeight="true" outlineLevel="0" collapsed="false">
      <c r="B73" s="37" t="s">
        <v>1154</v>
      </c>
      <c r="C73" s="37" t="s">
        <v>98</v>
      </c>
      <c r="D73" s="7" t="s">
        <v>1155</v>
      </c>
      <c r="E73" s="7" t="s">
        <v>1156</v>
      </c>
      <c r="F73" s="27" t="s">
        <v>609</v>
      </c>
      <c r="G73" s="7"/>
      <c r="H73" s="27" t="s">
        <v>88</v>
      </c>
      <c r="I73" s="27"/>
      <c r="J73" s="38"/>
    </row>
    <row r="74" customFormat="false" ht="138" hidden="false" customHeight="true" outlineLevel="0" collapsed="false">
      <c r="B74" s="39" t="s">
        <v>1157</v>
      </c>
      <c r="C74" s="39" t="s">
        <v>98</v>
      </c>
      <c r="D74" s="9" t="s">
        <v>1158</v>
      </c>
      <c r="E74" s="9" t="s">
        <v>1159</v>
      </c>
      <c r="F74" s="30" t="s">
        <v>1160</v>
      </c>
      <c r="G74" s="9"/>
      <c r="H74" s="30" t="s">
        <v>88</v>
      </c>
      <c r="I74" s="30"/>
      <c r="J74" s="40"/>
    </row>
    <row r="75" customFormat="false" ht="94.5" hidden="false" customHeight="true" outlineLevel="0" collapsed="false">
      <c r="B75" s="37" t="s">
        <v>1161</v>
      </c>
      <c r="C75" s="37" t="s">
        <v>94</v>
      </c>
      <c r="D75" s="7" t="s">
        <v>1162</v>
      </c>
      <c r="E75" s="7" t="s">
        <v>1163</v>
      </c>
      <c r="F75" s="27" t="s">
        <v>1160</v>
      </c>
      <c r="G75" s="7"/>
      <c r="H75" s="27" t="s">
        <v>88</v>
      </c>
      <c r="I75" s="27"/>
      <c r="J75" s="38"/>
    </row>
    <row r="76" customFormat="false" ht="79.5" hidden="false" customHeight="true" outlineLevel="0" collapsed="false">
      <c r="B76" s="39" t="s">
        <v>1164</v>
      </c>
      <c r="C76" s="39" t="s">
        <v>98</v>
      </c>
      <c r="D76" s="9" t="s">
        <v>1165</v>
      </c>
      <c r="E76" s="9" t="s">
        <v>609</v>
      </c>
      <c r="F76" s="30" t="s">
        <v>609</v>
      </c>
      <c r="G76" s="9"/>
      <c r="H76" s="30" t="s">
        <v>88</v>
      </c>
      <c r="I76" s="30"/>
      <c r="J76" s="40"/>
    </row>
    <row r="77" customFormat="false" ht="152.25" hidden="false" customHeight="true" outlineLevel="0" collapsed="false">
      <c r="B77" s="37" t="s">
        <v>1166</v>
      </c>
      <c r="C77" s="37" t="s">
        <v>98</v>
      </c>
      <c r="D77" s="7" t="s">
        <v>1167</v>
      </c>
      <c r="E77" s="7" t="s">
        <v>621</v>
      </c>
      <c r="F77" s="27" t="s">
        <v>621</v>
      </c>
      <c r="G77" s="7"/>
      <c r="H77" s="27" t="s">
        <v>88</v>
      </c>
      <c r="I77" s="27"/>
      <c r="J77" s="38"/>
    </row>
    <row r="78" customFormat="false" ht="108.75" hidden="false" customHeight="true" outlineLevel="0" collapsed="false">
      <c r="B78" s="39" t="s">
        <v>635</v>
      </c>
      <c r="C78" s="39" t="s">
        <v>98</v>
      </c>
      <c r="D78" s="9" t="s">
        <v>1168</v>
      </c>
      <c r="E78" s="9" t="s">
        <v>1169</v>
      </c>
      <c r="F78" s="30" t="s">
        <v>629</v>
      </c>
      <c r="G78" s="9"/>
      <c r="H78" s="30" t="s">
        <v>88</v>
      </c>
      <c r="I78" s="30"/>
      <c r="J78" s="40"/>
    </row>
    <row r="79" customFormat="false" ht="94.5" hidden="false" customHeight="true" outlineLevel="0" collapsed="false">
      <c r="B79" s="37" t="s">
        <v>643</v>
      </c>
      <c r="C79" s="37" t="s">
        <v>98</v>
      </c>
      <c r="D79" s="7" t="s">
        <v>1170</v>
      </c>
      <c r="E79" s="7" t="s">
        <v>637</v>
      </c>
      <c r="F79" s="27" t="s">
        <v>637</v>
      </c>
      <c r="G79" s="7"/>
      <c r="H79" s="27" t="s">
        <v>88</v>
      </c>
      <c r="I79" s="27"/>
      <c r="J79" s="38"/>
    </row>
  </sheetData>
  <autoFilter ref="B4:J79"/>
  <mergeCells count="2">
    <mergeCell ref="B2:J2"/>
    <mergeCell ref="B3:J3"/>
  </mergeCells>
  <conditionalFormatting sqref="H5:H79">
    <cfRule type="cellIs" priority="2" operator="equal" aboveAverage="0" equalAverage="0" bottom="0" percent="0" rank="0" text="" dxfId="6">
      <formula>"Answered - accepted"</formula>
    </cfRule>
    <cfRule type="cellIs" priority="3" operator="equal" aboveAverage="0" equalAverage="0" bottom="0" percent="0" rank="0" text="" dxfId="7">
      <formula>"Answered - disputed"</formula>
    </cfRule>
  </conditionalFormatting>
  <conditionalFormatting sqref="C5:C79">
    <cfRule type="cellIs" priority="4" operator="equal" aboveAverage="0" equalAverage="0" bottom="0" percent="0" rank="0" text="" dxfId="8">
      <formula>"Defect"</formula>
    </cfRule>
  </conditionalFormatting>
  <dataValidations count="1">
    <dataValidation allowBlank="true" errorStyle="stop" operator="between" showDropDown="false" showErrorMessage="false" showInputMessage="false" sqref="H5:H79" type="list">
      <formula1>"Open,Answered - accepted,Answered - disputed,N/A"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32"/>
    <col collapsed="false" customWidth="true" hidden="false" outlineLevel="0" max="7" min="7" style="1" width="34"/>
    <col collapsed="false" customWidth="true" hidden="false" outlineLevel="0" max="8" min="8" style="1" width="10"/>
    <col collapsed="false" customWidth="true" hidden="false" outlineLevel="0" max="12" min="9" style="1" width="2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1" t="s">
        <v>1171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13.5" hidden="false" customHeight="true" outlineLevel="0" collapsed="false">
      <c r="B3" s="22" t="s">
        <v>1172</v>
      </c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30" hidden="false" customHeight="true" outlineLevel="0" collapsed="false">
      <c r="B4" s="6" t="s">
        <v>108</v>
      </c>
      <c r="C4" s="6" t="s">
        <v>109</v>
      </c>
      <c r="D4" s="6" t="s">
        <v>73</v>
      </c>
      <c r="E4" s="6" t="s">
        <v>112</v>
      </c>
      <c r="F4" s="6" t="s">
        <v>1173</v>
      </c>
      <c r="G4" s="6" t="s">
        <v>114</v>
      </c>
      <c r="H4" s="6" t="s">
        <v>1174</v>
      </c>
      <c r="I4" s="6" t="s">
        <v>1175</v>
      </c>
      <c r="J4" s="6" t="s">
        <v>1176</v>
      </c>
      <c r="K4" s="6" t="s">
        <v>1177</v>
      </c>
      <c r="L4" s="6" t="s">
        <v>1178</v>
      </c>
    </row>
    <row r="5" customFormat="false" ht="36" hidden="false" customHeight="true" outlineLevel="0" collapsed="false">
      <c r="B5" s="23" t="s">
        <v>121</v>
      </c>
      <c r="C5" s="23" t="s">
        <v>122</v>
      </c>
      <c r="D5" s="23" t="s">
        <v>77</v>
      </c>
      <c r="E5" s="23" t="s">
        <v>125</v>
      </c>
      <c r="F5" s="25" t="s">
        <v>1179</v>
      </c>
      <c r="G5" s="25" t="s">
        <v>126</v>
      </c>
      <c r="H5" s="23" t="s">
        <v>1180</v>
      </c>
      <c r="I5" s="25" t="s">
        <v>129</v>
      </c>
      <c r="J5" s="25" t="s">
        <v>129</v>
      </c>
      <c r="K5" s="25" t="s">
        <v>1181</v>
      </c>
      <c r="L5" s="25" t="s">
        <v>129</v>
      </c>
    </row>
    <row r="6" customFormat="false" ht="21.75" hidden="false" customHeight="true" outlineLevel="0" collapsed="false">
      <c r="B6" s="30" t="s">
        <v>131</v>
      </c>
      <c r="C6" s="30" t="s">
        <v>132</v>
      </c>
      <c r="D6" s="30" t="s">
        <v>77</v>
      </c>
      <c r="E6" s="30" t="s">
        <v>125</v>
      </c>
      <c r="F6" s="9" t="s">
        <v>854</v>
      </c>
      <c r="G6" s="9" t="s">
        <v>135</v>
      </c>
      <c r="H6" s="30" t="s">
        <v>1180</v>
      </c>
      <c r="I6" s="9" t="s">
        <v>129</v>
      </c>
      <c r="J6" s="9" t="s">
        <v>129</v>
      </c>
      <c r="K6" s="9" t="s">
        <v>129</v>
      </c>
      <c r="L6" s="9" t="s">
        <v>129</v>
      </c>
    </row>
    <row r="7" customFormat="false" ht="21.75" hidden="false" customHeight="true" outlineLevel="0" collapsed="false">
      <c r="B7" s="27" t="s">
        <v>139</v>
      </c>
      <c r="C7" s="27" t="s">
        <v>140</v>
      </c>
      <c r="D7" s="27" t="s">
        <v>77</v>
      </c>
      <c r="E7" s="27" t="s">
        <v>125</v>
      </c>
      <c r="F7" s="7" t="s">
        <v>129</v>
      </c>
      <c r="G7" s="7" t="s">
        <v>143</v>
      </c>
      <c r="H7" s="27" t="s">
        <v>1180</v>
      </c>
      <c r="I7" s="7" t="s">
        <v>129</v>
      </c>
      <c r="J7" s="7" t="s">
        <v>129</v>
      </c>
      <c r="K7" s="7" t="s">
        <v>129</v>
      </c>
      <c r="L7" s="7" t="s">
        <v>129</v>
      </c>
    </row>
    <row r="8" customFormat="false" ht="21.75" hidden="false" customHeight="true" outlineLevel="0" collapsed="false">
      <c r="B8" s="30" t="s">
        <v>147</v>
      </c>
      <c r="C8" s="30" t="s">
        <v>148</v>
      </c>
      <c r="D8" s="30" t="s">
        <v>77</v>
      </c>
      <c r="E8" s="30" t="s">
        <v>125</v>
      </c>
      <c r="F8" s="9" t="s">
        <v>129</v>
      </c>
      <c r="G8" s="9" t="s">
        <v>151</v>
      </c>
      <c r="H8" s="30" t="s">
        <v>1180</v>
      </c>
      <c r="I8" s="9" t="s">
        <v>129</v>
      </c>
      <c r="J8" s="9" t="s">
        <v>129</v>
      </c>
      <c r="K8" s="9" t="s">
        <v>129</v>
      </c>
      <c r="L8" s="9" t="s">
        <v>129</v>
      </c>
    </row>
    <row r="9" customFormat="false" ht="36" hidden="false" customHeight="true" outlineLevel="0" collapsed="false">
      <c r="B9" s="27" t="s">
        <v>156</v>
      </c>
      <c r="C9" s="27" t="s">
        <v>157</v>
      </c>
      <c r="D9" s="27" t="s">
        <v>77</v>
      </c>
      <c r="E9" s="27" t="s">
        <v>125</v>
      </c>
      <c r="F9" s="7" t="s">
        <v>1182</v>
      </c>
      <c r="G9" s="7" t="s">
        <v>160</v>
      </c>
      <c r="H9" s="27" t="s">
        <v>1180</v>
      </c>
      <c r="I9" s="7" t="s">
        <v>129</v>
      </c>
      <c r="J9" s="7" t="s">
        <v>129</v>
      </c>
      <c r="K9" s="7" t="s">
        <v>129</v>
      </c>
      <c r="L9" s="7" t="s">
        <v>1183</v>
      </c>
    </row>
    <row r="10" customFormat="false" ht="36" hidden="false" customHeight="true" outlineLevel="0" collapsed="false">
      <c r="B10" s="30" t="s">
        <v>164</v>
      </c>
      <c r="C10" s="30" t="s">
        <v>165</v>
      </c>
      <c r="D10" s="30" t="s">
        <v>77</v>
      </c>
      <c r="E10" s="30" t="s">
        <v>125</v>
      </c>
      <c r="F10" s="9" t="s">
        <v>129</v>
      </c>
      <c r="G10" s="9" t="s">
        <v>168</v>
      </c>
      <c r="H10" s="30" t="s">
        <v>1180</v>
      </c>
      <c r="I10" s="9" t="s">
        <v>129</v>
      </c>
      <c r="J10" s="9" t="s">
        <v>129</v>
      </c>
      <c r="K10" s="9" t="s">
        <v>129</v>
      </c>
      <c r="L10" s="9" t="s">
        <v>129</v>
      </c>
    </row>
    <row r="11" customFormat="false" ht="21.75" hidden="false" customHeight="true" outlineLevel="0" collapsed="false">
      <c r="B11" s="27" t="s">
        <v>172</v>
      </c>
      <c r="C11" s="27" t="s">
        <v>173</v>
      </c>
      <c r="D11" s="27" t="s">
        <v>77</v>
      </c>
      <c r="E11" s="27" t="s">
        <v>125</v>
      </c>
      <c r="F11" s="7" t="s">
        <v>129</v>
      </c>
      <c r="G11" s="7" t="s">
        <v>176</v>
      </c>
      <c r="H11" s="27" t="s">
        <v>1180</v>
      </c>
      <c r="I11" s="7" t="s">
        <v>129</v>
      </c>
      <c r="J11" s="7" t="s">
        <v>129</v>
      </c>
      <c r="K11" s="7" t="s">
        <v>129</v>
      </c>
      <c r="L11" s="7" t="s">
        <v>129</v>
      </c>
    </row>
    <row r="12" customFormat="false" ht="21.75" hidden="false" customHeight="true" outlineLevel="0" collapsed="false">
      <c r="B12" s="30" t="s">
        <v>180</v>
      </c>
      <c r="C12" s="30" t="s">
        <v>181</v>
      </c>
      <c r="D12" s="30" t="s">
        <v>77</v>
      </c>
      <c r="E12" s="30" t="s">
        <v>125</v>
      </c>
      <c r="F12" s="9" t="s">
        <v>129</v>
      </c>
      <c r="G12" s="9" t="s">
        <v>184</v>
      </c>
      <c r="H12" s="30" t="s">
        <v>1180</v>
      </c>
      <c r="I12" s="9" t="s">
        <v>129</v>
      </c>
      <c r="J12" s="9" t="s">
        <v>129</v>
      </c>
      <c r="K12" s="9" t="s">
        <v>129</v>
      </c>
      <c r="L12" s="9" t="s">
        <v>129</v>
      </c>
    </row>
    <row r="13" customFormat="false" ht="36" hidden="false" customHeight="true" outlineLevel="0" collapsed="false">
      <c r="B13" s="27" t="s">
        <v>189</v>
      </c>
      <c r="C13" s="27" t="s">
        <v>190</v>
      </c>
      <c r="D13" s="27" t="s">
        <v>77</v>
      </c>
      <c r="E13" s="27" t="s">
        <v>125</v>
      </c>
      <c r="F13" s="7" t="s">
        <v>129</v>
      </c>
      <c r="G13" s="7" t="s">
        <v>193</v>
      </c>
      <c r="H13" s="27" t="s">
        <v>1180</v>
      </c>
      <c r="I13" s="7" t="s">
        <v>129</v>
      </c>
      <c r="J13" s="7" t="s">
        <v>129</v>
      </c>
      <c r="K13" s="7" t="s">
        <v>129</v>
      </c>
      <c r="L13" s="7" t="s">
        <v>129</v>
      </c>
    </row>
    <row r="14" customFormat="false" ht="36" hidden="false" customHeight="true" outlineLevel="0" collapsed="false">
      <c r="B14" s="30" t="s">
        <v>197</v>
      </c>
      <c r="C14" s="30" t="s">
        <v>198</v>
      </c>
      <c r="D14" s="30" t="s">
        <v>77</v>
      </c>
      <c r="E14" s="30" t="s">
        <v>201</v>
      </c>
      <c r="F14" s="9" t="s">
        <v>1184</v>
      </c>
      <c r="G14" s="9" t="s">
        <v>202</v>
      </c>
      <c r="H14" s="30" t="s">
        <v>1180</v>
      </c>
      <c r="I14" s="9" t="s">
        <v>129</v>
      </c>
      <c r="J14" s="9" t="s">
        <v>1185</v>
      </c>
      <c r="K14" s="9" t="s">
        <v>129</v>
      </c>
      <c r="L14" s="9" t="s">
        <v>129</v>
      </c>
    </row>
    <row r="15" customFormat="false" ht="36" hidden="false" customHeight="true" outlineLevel="0" collapsed="false">
      <c r="B15" s="27" t="s">
        <v>207</v>
      </c>
      <c r="C15" s="27" t="s">
        <v>208</v>
      </c>
      <c r="D15" s="27" t="s">
        <v>77</v>
      </c>
      <c r="E15" s="27" t="s">
        <v>201</v>
      </c>
      <c r="F15" s="7" t="s">
        <v>129</v>
      </c>
      <c r="G15" s="7" t="s">
        <v>211</v>
      </c>
      <c r="H15" s="27" t="s">
        <v>1180</v>
      </c>
      <c r="I15" s="7" t="s">
        <v>129</v>
      </c>
      <c r="J15" s="7" t="s">
        <v>129</v>
      </c>
      <c r="K15" s="7" t="s">
        <v>129</v>
      </c>
      <c r="L15" s="7" t="s">
        <v>129</v>
      </c>
    </row>
    <row r="16" customFormat="false" ht="36" hidden="false" customHeight="true" outlineLevel="0" collapsed="false">
      <c r="B16" s="30" t="s">
        <v>215</v>
      </c>
      <c r="C16" s="30" t="s">
        <v>216</v>
      </c>
      <c r="D16" s="30" t="s">
        <v>77</v>
      </c>
      <c r="E16" s="30" t="s">
        <v>219</v>
      </c>
      <c r="F16" s="9" t="s">
        <v>1186</v>
      </c>
      <c r="G16" s="9" t="s">
        <v>211</v>
      </c>
      <c r="H16" s="30" t="s">
        <v>1180</v>
      </c>
      <c r="I16" s="9" t="s">
        <v>1187</v>
      </c>
      <c r="J16" s="9" t="s">
        <v>129</v>
      </c>
      <c r="K16" s="9" t="s">
        <v>129</v>
      </c>
      <c r="L16" s="9" t="s">
        <v>129</v>
      </c>
    </row>
    <row r="17" customFormat="false" ht="36" hidden="false" customHeight="true" outlineLevel="0" collapsed="false">
      <c r="B17" s="27" t="s">
        <v>223</v>
      </c>
      <c r="C17" s="27" t="s">
        <v>224</v>
      </c>
      <c r="D17" s="27" t="s">
        <v>77</v>
      </c>
      <c r="E17" s="27" t="s">
        <v>125</v>
      </c>
      <c r="F17" s="7" t="s">
        <v>1188</v>
      </c>
      <c r="G17" s="7" t="s">
        <v>227</v>
      </c>
      <c r="H17" s="27" t="s">
        <v>1180</v>
      </c>
      <c r="I17" s="7" t="s">
        <v>129</v>
      </c>
      <c r="J17" s="7" t="s">
        <v>129</v>
      </c>
      <c r="K17" s="7" t="s">
        <v>129</v>
      </c>
      <c r="L17" s="7" t="s">
        <v>1183</v>
      </c>
    </row>
    <row r="18" customFormat="false" ht="36" hidden="false" customHeight="true" outlineLevel="0" collapsed="false">
      <c r="B18" s="30" t="s">
        <v>233</v>
      </c>
      <c r="C18" s="30" t="s">
        <v>234</v>
      </c>
      <c r="D18" s="30" t="s">
        <v>77</v>
      </c>
      <c r="E18" s="30" t="s">
        <v>125</v>
      </c>
      <c r="F18" s="9" t="s">
        <v>1189</v>
      </c>
      <c r="G18" s="9" t="s">
        <v>237</v>
      </c>
      <c r="H18" s="30" t="s">
        <v>1180</v>
      </c>
      <c r="I18" s="9" t="s">
        <v>129</v>
      </c>
      <c r="J18" s="9" t="s">
        <v>129</v>
      </c>
      <c r="K18" s="9" t="s">
        <v>129</v>
      </c>
      <c r="L18" s="9" t="s">
        <v>129</v>
      </c>
    </row>
    <row r="19" customFormat="false" ht="21.75" hidden="false" customHeight="true" outlineLevel="0" collapsed="false">
      <c r="B19" s="27" t="s">
        <v>241</v>
      </c>
      <c r="C19" s="27" t="s">
        <v>242</v>
      </c>
      <c r="D19" s="27" t="s">
        <v>77</v>
      </c>
      <c r="E19" s="27" t="s">
        <v>125</v>
      </c>
      <c r="F19" s="7" t="s">
        <v>1190</v>
      </c>
      <c r="G19" s="7" t="s">
        <v>245</v>
      </c>
      <c r="H19" s="27" t="s">
        <v>1180</v>
      </c>
      <c r="I19" s="7" t="s">
        <v>129</v>
      </c>
      <c r="J19" s="7" t="s">
        <v>129</v>
      </c>
      <c r="K19" s="7" t="s">
        <v>129</v>
      </c>
      <c r="L19" s="7" t="s">
        <v>129</v>
      </c>
    </row>
    <row r="20" customFormat="false" ht="21.75" hidden="false" customHeight="true" outlineLevel="0" collapsed="false">
      <c r="B20" s="30" t="s">
        <v>250</v>
      </c>
      <c r="C20" s="30" t="s">
        <v>251</v>
      </c>
      <c r="D20" s="30" t="s">
        <v>77</v>
      </c>
      <c r="E20" s="30" t="s">
        <v>125</v>
      </c>
      <c r="F20" s="9" t="s">
        <v>1191</v>
      </c>
      <c r="G20" s="9" t="s">
        <v>254</v>
      </c>
      <c r="H20" s="30" t="s">
        <v>1180</v>
      </c>
      <c r="I20" s="9" t="s">
        <v>129</v>
      </c>
      <c r="J20" s="9" t="s">
        <v>129</v>
      </c>
      <c r="K20" s="9" t="s">
        <v>129</v>
      </c>
      <c r="L20" s="9" t="s">
        <v>129</v>
      </c>
    </row>
    <row r="21" customFormat="false" ht="36" hidden="false" customHeight="true" outlineLevel="0" collapsed="false">
      <c r="B21" s="27" t="s">
        <v>257</v>
      </c>
      <c r="C21" s="27" t="s">
        <v>258</v>
      </c>
      <c r="D21" s="27" t="s">
        <v>77</v>
      </c>
      <c r="E21" s="27" t="s">
        <v>125</v>
      </c>
      <c r="F21" s="7" t="s">
        <v>1192</v>
      </c>
      <c r="G21" s="7" t="s">
        <v>261</v>
      </c>
      <c r="H21" s="27" t="s">
        <v>1180</v>
      </c>
      <c r="I21" s="7" t="s">
        <v>129</v>
      </c>
      <c r="J21" s="7" t="s">
        <v>129</v>
      </c>
      <c r="K21" s="7" t="s">
        <v>129</v>
      </c>
      <c r="L21" s="7" t="s">
        <v>129</v>
      </c>
    </row>
    <row r="22" customFormat="false" ht="36" hidden="false" customHeight="true" outlineLevel="0" collapsed="false">
      <c r="B22" s="30" t="s">
        <v>266</v>
      </c>
      <c r="C22" s="30" t="s">
        <v>267</v>
      </c>
      <c r="D22" s="30" t="s">
        <v>77</v>
      </c>
      <c r="E22" s="30" t="s">
        <v>125</v>
      </c>
      <c r="F22" s="9" t="s">
        <v>1193</v>
      </c>
      <c r="G22" s="9" t="s">
        <v>270</v>
      </c>
      <c r="H22" s="30" t="s">
        <v>1180</v>
      </c>
      <c r="I22" s="9" t="s">
        <v>129</v>
      </c>
      <c r="J22" s="9" t="s">
        <v>1194</v>
      </c>
      <c r="K22" s="9" t="s">
        <v>129</v>
      </c>
      <c r="L22" s="9" t="s">
        <v>129</v>
      </c>
    </row>
    <row r="23" customFormat="false" ht="36" hidden="false" customHeight="true" outlineLevel="0" collapsed="false">
      <c r="B23" s="27" t="s">
        <v>276</v>
      </c>
      <c r="C23" s="27" t="s">
        <v>277</v>
      </c>
      <c r="D23" s="27" t="s">
        <v>77</v>
      </c>
      <c r="E23" s="27" t="s">
        <v>280</v>
      </c>
      <c r="F23" s="7" t="s">
        <v>1195</v>
      </c>
      <c r="G23" s="7" t="s">
        <v>281</v>
      </c>
      <c r="H23" s="27" t="s">
        <v>1180</v>
      </c>
      <c r="I23" s="7" t="s">
        <v>129</v>
      </c>
      <c r="J23" s="7" t="s">
        <v>129</v>
      </c>
      <c r="K23" s="7" t="s">
        <v>129</v>
      </c>
      <c r="L23" s="7" t="s">
        <v>129</v>
      </c>
    </row>
    <row r="24" customFormat="false" ht="21.75" hidden="false" customHeight="true" outlineLevel="0" collapsed="false">
      <c r="B24" s="30" t="s">
        <v>286</v>
      </c>
      <c r="C24" s="30" t="s">
        <v>287</v>
      </c>
      <c r="D24" s="30" t="s">
        <v>77</v>
      </c>
      <c r="E24" s="30" t="s">
        <v>125</v>
      </c>
      <c r="F24" s="9" t="s">
        <v>129</v>
      </c>
      <c r="G24" s="9" t="s">
        <v>290</v>
      </c>
      <c r="H24" s="30" t="s">
        <v>1180</v>
      </c>
      <c r="I24" s="9" t="s">
        <v>129</v>
      </c>
      <c r="J24" s="9" t="s">
        <v>129</v>
      </c>
      <c r="K24" s="9" t="s">
        <v>129</v>
      </c>
      <c r="L24" s="9" t="s">
        <v>129</v>
      </c>
    </row>
    <row r="25" customFormat="false" ht="36" hidden="false" customHeight="true" outlineLevel="0" collapsed="false">
      <c r="B25" s="27" t="s">
        <v>296</v>
      </c>
      <c r="C25" s="27" t="s">
        <v>297</v>
      </c>
      <c r="D25" s="27" t="s">
        <v>77</v>
      </c>
      <c r="E25" s="27" t="s">
        <v>280</v>
      </c>
      <c r="F25" s="7" t="s">
        <v>1196</v>
      </c>
      <c r="G25" s="7" t="s">
        <v>300</v>
      </c>
      <c r="H25" s="27" t="s">
        <v>1180</v>
      </c>
      <c r="I25" s="7" t="s">
        <v>129</v>
      </c>
      <c r="J25" s="7" t="s">
        <v>1197</v>
      </c>
      <c r="K25" s="7" t="s">
        <v>129</v>
      </c>
      <c r="L25" s="7" t="s">
        <v>129</v>
      </c>
    </row>
    <row r="26" customFormat="false" ht="51" hidden="false" customHeight="true" outlineLevel="0" collapsed="false">
      <c r="B26" s="30" t="s">
        <v>283</v>
      </c>
      <c r="C26" s="30" t="s">
        <v>303</v>
      </c>
      <c r="D26" s="30" t="s">
        <v>77</v>
      </c>
      <c r="E26" s="30" t="s">
        <v>201</v>
      </c>
      <c r="F26" s="9" t="s">
        <v>129</v>
      </c>
      <c r="G26" s="9" t="s">
        <v>281</v>
      </c>
      <c r="H26" s="30" t="s">
        <v>1180</v>
      </c>
      <c r="I26" s="9" t="s">
        <v>129</v>
      </c>
      <c r="J26" s="9" t="s">
        <v>129</v>
      </c>
      <c r="K26" s="9" t="s">
        <v>129</v>
      </c>
      <c r="L26" s="9" t="s">
        <v>129</v>
      </c>
    </row>
    <row r="27" customFormat="false" ht="36" hidden="false" customHeight="true" outlineLevel="0" collapsed="false">
      <c r="B27" s="27" t="s">
        <v>310</v>
      </c>
      <c r="C27" s="27" t="s">
        <v>311</v>
      </c>
      <c r="D27" s="27" t="s">
        <v>77</v>
      </c>
      <c r="E27" s="27" t="s">
        <v>219</v>
      </c>
      <c r="F27" s="7" t="s">
        <v>129</v>
      </c>
      <c r="G27" s="7" t="s">
        <v>314</v>
      </c>
      <c r="H27" s="27" t="s">
        <v>1180</v>
      </c>
      <c r="I27" s="7" t="s">
        <v>129</v>
      </c>
      <c r="J27" s="7" t="s">
        <v>129</v>
      </c>
      <c r="K27" s="7" t="s">
        <v>129</v>
      </c>
      <c r="L27" s="7" t="s">
        <v>129</v>
      </c>
    </row>
    <row r="28" customFormat="false" ht="36" hidden="false" customHeight="true" outlineLevel="0" collapsed="false">
      <c r="B28" s="30" t="s">
        <v>320</v>
      </c>
      <c r="C28" s="30" t="s">
        <v>321</v>
      </c>
      <c r="D28" s="30" t="s">
        <v>77</v>
      </c>
      <c r="E28" s="30" t="s">
        <v>324</v>
      </c>
      <c r="F28" s="9" t="s">
        <v>1198</v>
      </c>
      <c r="G28" s="9" t="s">
        <v>325</v>
      </c>
      <c r="H28" s="30" t="s">
        <v>1180</v>
      </c>
      <c r="I28" s="9" t="s">
        <v>129</v>
      </c>
      <c r="J28" s="9" t="s">
        <v>129</v>
      </c>
      <c r="K28" s="9" t="s">
        <v>129</v>
      </c>
      <c r="L28" s="9" t="s">
        <v>1199</v>
      </c>
    </row>
    <row r="29" customFormat="false" ht="21.75" hidden="false" customHeight="true" outlineLevel="0" collapsed="false">
      <c r="B29" s="27" t="s">
        <v>330</v>
      </c>
      <c r="C29" s="27" t="s">
        <v>331</v>
      </c>
      <c r="D29" s="27" t="s">
        <v>77</v>
      </c>
      <c r="E29" s="27" t="s">
        <v>125</v>
      </c>
      <c r="F29" s="7" t="s">
        <v>1200</v>
      </c>
      <c r="G29" s="7" t="s">
        <v>334</v>
      </c>
      <c r="H29" s="27" t="s">
        <v>1180</v>
      </c>
      <c r="I29" s="7" t="s">
        <v>129</v>
      </c>
      <c r="J29" s="7" t="s">
        <v>129</v>
      </c>
      <c r="K29" s="7" t="s">
        <v>129</v>
      </c>
      <c r="L29" s="7" t="s">
        <v>129</v>
      </c>
    </row>
    <row r="30" customFormat="false" ht="21.75" hidden="false" customHeight="true" outlineLevel="0" collapsed="false">
      <c r="B30" s="30" t="s">
        <v>339</v>
      </c>
      <c r="C30" s="30" t="s">
        <v>340</v>
      </c>
      <c r="D30" s="30" t="s">
        <v>77</v>
      </c>
      <c r="E30" s="30" t="s">
        <v>125</v>
      </c>
      <c r="F30" s="9" t="s">
        <v>1201</v>
      </c>
      <c r="G30" s="9" t="s">
        <v>343</v>
      </c>
      <c r="H30" s="30" t="s">
        <v>1180</v>
      </c>
      <c r="I30" s="9" t="s">
        <v>129</v>
      </c>
      <c r="J30" s="9" t="s">
        <v>129</v>
      </c>
      <c r="K30" s="9" t="s">
        <v>129</v>
      </c>
      <c r="L30" s="9" t="s">
        <v>129</v>
      </c>
    </row>
    <row r="31" customFormat="false" ht="21.75" hidden="false" customHeight="true" outlineLevel="0" collapsed="false">
      <c r="B31" s="27" t="s">
        <v>349</v>
      </c>
      <c r="C31" s="27" t="s">
        <v>350</v>
      </c>
      <c r="D31" s="27" t="s">
        <v>77</v>
      </c>
      <c r="E31" s="27" t="s">
        <v>125</v>
      </c>
      <c r="F31" s="7" t="s">
        <v>129</v>
      </c>
      <c r="G31" s="7" t="s">
        <v>353</v>
      </c>
      <c r="H31" s="27" t="s">
        <v>1180</v>
      </c>
      <c r="I31" s="7" t="s">
        <v>129</v>
      </c>
      <c r="J31" s="7" t="s">
        <v>129</v>
      </c>
      <c r="K31" s="7" t="s">
        <v>129</v>
      </c>
      <c r="L31" s="7" t="s">
        <v>129</v>
      </c>
    </row>
    <row r="32" customFormat="false" ht="51" hidden="false" customHeight="true" outlineLevel="0" collapsed="false">
      <c r="B32" s="30" t="s">
        <v>356</v>
      </c>
      <c r="C32" s="30" t="s">
        <v>357</v>
      </c>
      <c r="D32" s="30" t="s">
        <v>77</v>
      </c>
      <c r="E32" s="30" t="s">
        <v>125</v>
      </c>
      <c r="F32" s="9" t="s">
        <v>1202</v>
      </c>
      <c r="G32" s="9" t="s">
        <v>360</v>
      </c>
      <c r="H32" s="30" t="s">
        <v>1180</v>
      </c>
      <c r="I32" s="9" t="s">
        <v>129</v>
      </c>
      <c r="J32" s="9" t="s">
        <v>129</v>
      </c>
      <c r="K32" s="9" t="s">
        <v>129</v>
      </c>
      <c r="L32" s="9" t="s">
        <v>1183</v>
      </c>
    </row>
    <row r="33" customFormat="false" ht="36" hidden="false" customHeight="true" outlineLevel="0" collapsed="false">
      <c r="B33" s="27" t="s">
        <v>364</v>
      </c>
      <c r="C33" s="27" t="s">
        <v>365</v>
      </c>
      <c r="D33" s="27" t="s">
        <v>77</v>
      </c>
      <c r="E33" s="27" t="s">
        <v>125</v>
      </c>
      <c r="F33" s="7" t="s">
        <v>1203</v>
      </c>
      <c r="G33" s="7" t="s">
        <v>368</v>
      </c>
      <c r="H33" s="27" t="s">
        <v>1180</v>
      </c>
      <c r="I33" s="7" t="s">
        <v>129</v>
      </c>
      <c r="J33" s="7" t="s">
        <v>1204</v>
      </c>
      <c r="K33" s="7" t="s">
        <v>129</v>
      </c>
      <c r="L33" s="7" t="s">
        <v>129</v>
      </c>
    </row>
    <row r="34" customFormat="false" ht="36" hidden="false" customHeight="true" outlineLevel="0" collapsed="false">
      <c r="B34" s="30" t="s">
        <v>372</v>
      </c>
      <c r="C34" s="30" t="s">
        <v>373</v>
      </c>
      <c r="D34" s="30" t="s">
        <v>77</v>
      </c>
      <c r="E34" s="30" t="s">
        <v>125</v>
      </c>
      <c r="F34" s="9" t="s">
        <v>129</v>
      </c>
      <c r="G34" s="9" t="s">
        <v>376</v>
      </c>
      <c r="H34" s="30" t="s">
        <v>1180</v>
      </c>
      <c r="I34" s="9" t="s">
        <v>129</v>
      </c>
      <c r="J34" s="9" t="s">
        <v>129</v>
      </c>
      <c r="K34" s="9" t="s">
        <v>129</v>
      </c>
      <c r="L34" s="9" t="s">
        <v>129</v>
      </c>
    </row>
    <row r="35" customFormat="false" ht="21.75" hidden="false" customHeight="true" outlineLevel="0" collapsed="false">
      <c r="B35" s="27" t="s">
        <v>380</v>
      </c>
      <c r="C35" s="27" t="s">
        <v>381</v>
      </c>
      <c r="D35" s="27" t="s">
        <v>77</v>
      </c>
      <c r="E35" s="27" t="s">
        <v>125</v>
      </c>
      <c r="F35" s="7" t="s">
        <v>1205</v>
      </c>
      <c r="G35" s="7" t="s">
        <v>384</v>
      </c>
      <c r="H35" s="27" t="s">
        <v>1180</v>
      </c>
      <c r="I35" s="7" t="s">
        <v>129</v>
      </c>
      <c r="J35" s="7" t="s">
        <v>129</v>
      </c>
      <c r="K35" s="7" t="s">
        <v>129</v>
      </c>
      <c r="L35" s="7" t="s">
        <v>129</v>
      </c>
    </row>
    <row r="36" customFormat="false" ht="36" hidden="false" customHeight="true" outlineLevel="0" collapsed="false">
      <c r="B36" s="33" t="s">
        <v>387</v>
      </c>
      <c r="C36" s="33" t="s">
        <v>388</v>
      </c>
      <c r="D36" s="33" t="s">
        <v>78</v>
      </c>
      <c r="E36" s="33" t="s">
        <v>391</v>
      </c>
      <c r="F36" s="35" t="s">
        <v>1206</v>
      </c>
      <c r="G36" s="35" t="s">
        <v>392</v>
      </c>
      <c r="H36" s="33" t="s">
        <v>625</v>
      </c>
      <c r="I36" s="35" t="s">
        <v>129</v>
      </c>
      <c r="J36" s="35" t="s">
        <v>1204</v>
      </c>
      <c r="K36" s="35" t="s">
        <v>129</v>
      </c>
      <c r="L36" s="35" t="s">
        <v>129</v>
      </c>
    </row>
    <row r="37" customFormat="false" ht="36" hidden="false" customHeight="true" outlineLevel="0" collapsed="false">
      <c r="B37" s="27" t="s">
        <v>397</v>
      </c>
      <c r="C37" s="27" t="s">
        <v>398</v>
      </c>
      <c r="D37" s="27" t="s">
        <v>78</v>
      </c>
      <c r="E37" s="27" t="s">
        <v>401</v>
      </c>
      <c r="F37" s="7" t="s">
        <v>129</v>
      </c>
      <c r="G37" s="7" t="s">
        <v>402</v>
      </c>
      <c r="H37" s="27" t="s">
        <v>625</v>
      </c>
      <c r="I37" s="7" t="s">
        <v>129</v>
      </c>
      <c r="J37" s="7" t="s">
        <v>129</v>
      </c>
      <c r="K37" s="7" t="s">
        <v>129</v>
      </c>
      <c r="L37" s="7" t="s">
        <v>129</v>
      </c>
    </row>
    <row r="38" customFormat="false" ht="51" hidden="false" customHeight="true" outlineLevel="0" collapsed="false">
      <c r="B38" s="30" t="s">
        <v>385</v>
      </c>
      <c r="C38" s="30" t="s">
        <v>407</v>
      </c>
      <c r="D38" s="30" t="s">
        <v>78</v>
      </c>
      <c r="E38" s="30" t="s">
        <v>401</v>
      </c>
      <c r="F38" s="9" t="s">
        <v>129</v>
      </c>
      <c r="G38" s="9" t="s">
        <v>410</v>
      </c>
      <c r="H38" s="30" t="s">
        <v>625</v>
      </c>
      <c r="I38" s="9" t="s">
        <v>129</v>
      </c>
      <c r="J38" s="9" t="s">
        <v>129</v>
      </c>
      <c r="K38" s="9" t="s">
        <v>129</v>
      </c>
      <c r="L38" s="9" t="s">
        <v>129</v>
      </c>
    </row>
    <row r="39" customFormat="false" ht="51" hidden="false" customHeight="true" outlineLevel="0" collapsed="false">
      <c r="B39" s="27" t="s">
        <v>404</v>
      </c>
      <c r="C39" s="27" t="s">
        <v>414</v>
      </c>
      <c r="D39" s="27" t="s">
        <v>78</v>
      </c>
      <c r="E39" s="27" t="s">
        <v>201</v>
      </c>
      <c r="F39" s="7" t="s">
        <v>1207</v>
      </c>
      <c r="G39" s="7" t="s">
        <v>417</v>
      </c>
      <c r="H39" s="27" t="s">
        <v>1208</v>
      </c>
      <c r="I39" s="7" t="s">
        <v>129</v>
      </c>
      <c r="J39" s="7" t="s">
        <v>1209</v>
      </c>
      <c r="K39" s="7" t="s">
        <v>129</v>
      </c>
      <c r="L39" s="7" t="s">
        <v>129</v>
      </c>
    </row>
    <row r="40" customFormat="false" ht="36" hidden="false" customHeight="true" outlineLevel="0" collapsed="false">
      <c r="B40" s="30" t="s">
        <v>421</v>
      </c>
      <c r="C40" s="30" t="s">
        <v>422</v>
      </c>
      <c r="D40" s="30" t="s">
        <v>78</v>
      </c>
      <c r="E40" s="30" t="s">
        <v>201</v>
      </c>
      <c r="F40" s="9" t="s">
        <v>1210</v>
      </c>
      <c r="G40" s="9" t="s">
        <v>425</v>
      </c>
      <c r="H40" s="30" t="s">
        <v>1208</v>
      </c>
      <c r="I40" s="9" t="s">
        <v>129</v>
      </c>
      <c r="J40" s="9" t="s">
        <v>1211</v>
      </c>
      <c r="K40" s="9" t="s">
        <v>129</v>
      </c>
      <c r="L40" s="9" t="s">
        <v>129</v>
      </c>
    </row>
    <row r="41" customFormat="false" ht="36" hidden="false" customHeight="true" outlineLevel="0" collapsed="false">
      <c r="B41" s="27" t="s">
        <v>429</v>
      </c>
      <c r="C41" s="27" t="s">
        <v>430</v>
      </c>
      <c r="D41" s="27" t="s">
        <v>78</v>
      </c>
      <c r="E41" s="27" t="s">
        <v>201</v>
      </c>
      <c r="F41" s="7" t="s">
        <v>1212</v>
      </c>
      <c r="G41" s="7" t="s">
        <v>433</v>
      </c>
      <c r="H41" s="27" t="s">
        <v>1208</v>
      </c>
      <c r="I41" s="7" t="s">
        <v>1213</v>
      </c>
      <c r="J41" s="7" t="s">
        <v>129</v>
      </c>
      <c r="K41" s="7" t="s">
        <v>129</v>
      </c>
      <c r="L41" s="7" t="s">
        <v>1214</v>
      </c>
    </row>
    <row r="42" customFormat="false" ht="36" hidden="false" customHeight="true" outlineLevel="0" collapsed="false">
      <c r="B42" s="30" t="s">
        <v>438</v>
      </c>
      <c r="C42" s="30" t="s">
        <v>439</v>
      </c>
      <c r="D42" s="30" t="s">
        <v>78</v>
      </c>
      <c r="E42" s="30" t="s">
        <v>201</v>
      </c>
      <c r="F42" s="9" t="s">
        <v>129</v>
      </c>
      <c r="G42" s="9" t="s">
        <v>442</v>
      </c>
      <c r="H42" s="30" t="s">
        <v>1208</v>
      </c>
      <c r="I42" s="9" t="s">
        <v>129</v>
      </c>
      <c r="J42" s="9" t="s">
        <v>129</v>
      </c>
      <c r="K42" s="9" t="s">
        <v>129</v>
      </c>
      <c r="L42" s="9" t="s">
        <v>129</v>
      </c>
    </row>
    <row r="43" customFormat="false" ht="36" hidden="false" customHeight="true" outlineLevel="0" collapsed="false">
      <c r="B43" s="27" t="s">
        <v>445</v>
      </c>
      <c r="C43" s="27" t="s">
        <v>446</v>
      </c>
      <c r="D43" s="27" t="s">
        <v>78</v>
      </c>
      <c r="E43" s="27" t="s">
        <v>206</v>
      </c>
      <c r="F43" s="7" t="s">
        <v>129</v>
      </c>
      <c r="G43" s="7" t="s">
        <v>449</v>
      </c>
      <c r="H43" s="27" t="s">
        <v>1208</v>
      </c>
      <c r="I43" s="7" t="s">
        <v>129</v>
      </c>
      <c r="J43" s="7" t="s">
        <v>129</v>
      </c>
      <c r="K43" s="7" t="s">
        <v>129</v>
      </c>
      <c r="L43" s="7" t="s">
        <v>129</v>
      </c>
    </row>
    <row r="44" customFormat="false" ht="51" hidden="false" customHeight="true" outlineLevel="0" collapsed="false">
      <c r="B44" s="30" t="s">
        <v>454</v>
      </c>
      <c r="C44" s="30" t="s">
        <v>455</v>
      </c>
      <c r="D44" s="30" t="s">
        <v>78</v>
      </c>
      <c r="E44" s="30" t="s">
        <v>206</v>
      </c>
      <c r="F44" s="9" t="s">
        <v>1215</v>
      </c>
      <c r="G44" s="9" t="s">
        <v>458</v>
      </c>
      <c r="H44" s="30" t="s">
        <v>1208</v>
      </c>
      <c r="I44" s="9" t="s">
        <v>129</v>
      </c>
      <c r="J44" s="9" t="s">
        <v>129</v>
      </c>
      <c r="K44" s="9" t="s">
        <v>129</v>
      </c>
      <c r="L44" s="9" t="s">
        <v>1183</v>
      </c>
    </row>
    <row r="45" customFormat="false" ht="51" hidden="false" customHeight="true" outlineLevel="0" collapsed="false">
      <c r="B45" s="27" t="s">
        <v>463</v>
      </c>
      <c r="C45" s="27" t="s">
        <v>464</v>
      </c>
      <c r="D45" s="27" t="s">
        <v>78</v>
      </c>
      <c r="E45" s="27" t="s">
        <v>206</v>
      </c>
      <c r="F45" s="7" t="s">
        <v>1216</v>
      </c>
      <c r="G45" s="7" t="s">
        <v>467</v>
      </c>
      <c r="H45" s="27" t="s">
        <v>1217</v>
      </c>
      <c r="I45" s="7" t="s">
        <v>129</v>
      </c>
      <c r="J45" s="7" t="s">
        <v>129</v>
      </c>
      <c r="K45" s="7" t="s">
        <v>129</v>
      </c>
      <c r="L45" s="7" t="s">
        <v>1216</v>
      </c>
    </row>
    <row r="46" customFormat="false" ht="51" hidden="false" customHeight="true" outlineLevel="0" collapsed="false">
      <c r="B46" s="30" t="s">
        <v>471</v>
      </c>
      <c r="C46" s="30" t="s">
        <v>472</v>
      </c>
      <c r="D46" s="30" t="s">
        <v>78</v>
      </c>
      <c r="E46" s="30" t="s">
        <v>475</v>
      </c>
      <c r="F46" s="9" t="s">
        <v>1218</v>
      </c>
      <c r="G46" s="9" t="s">
        <v>476</v>
      </c>
      <c r="H46" s="30" t="s">
        <v>1219</v>
      </c>
      <c r="I46" s="9" t="s">
        <v>129</v>
      </c>
      <c r="J46" s="9" t="s">
        <v>129</v>
      </c>
      <c r="K46" s="9" t="s">
        <v>129</v>
      </c>
      <c r="L46" s="9" t="s">
        <v>809</v>
      </c>
    </row>
    <row r="47" customFormat="false" ht="36" hidden="false" customHeight="true" outlineLevel="0" collapsed="false">
      <c r="B47" s="27" t="s">
        <v>480</v>
      </c>
      <c r="C47" s="27" t="s">
        <v>481</v>
      </c>
      <c r="D47" s="27" t="s">
        <v>78</v>
      </c>
      <c r="E47" s="27" t="s">
        <v>484</v>
      </c>
      <c r="F47" s="7" t="s">
        <v>1220</v>
      </c>
      <c r="G47" s="7" t="s">
        <v>485</v>
      </c>
      <c r="H47" s="27" t="s">
        <v>1208</v>
      </c>
      <c r="I47" s="7" t="s">
        <v>129</v>
      </c>
      <c r="J47" s="7" t="s">
        <v>129</v>
      </c>
      <c r="K47" s="7" t="s">
        <v>129</v>
      </c>
      <c r="L47" s="7" t="s">
        <v>129</v>
      </c>
    </row>
    <row r="48" customFormat="false" ht="36" hidden="false" customHeight="true" outlineLevel="0" collapsed="false">
      <c r="B48" s="30" t="s">
        <v>491</v>
      </c>
      <c r="C48" s="30" t="s">
        <v>492</v>
      </c>
      <c r="D48" s="30" t="s">
        <v>78</v>
      </c>
      <c r="E48" s="30" t="s">
        <v>495</v>
      </c>
      <c r="F48" s="9" t="s">
        <v>1221</v>
      </c>
      <c r="G48" s="9" t="s">
        <v>129</v>
      </c>
      <c r="H48" s="30" t="s">
        <v>129</v>
      </c>
      <c r="I48" s="9" t="s">
        <v>129</v>
      </c>
      <c r="J48" s="9" t="s">
        <v>129</v>
      </c>
      <c r="K48" s="9" t="s">
        <v>1222</v>
      </c>
      <c r="L48" s="9" t="s">
        <v>129</v>
      </c>
    </row>
    <row r="49" customFormat="false" ht="36" hidden="false" customHeight="true" outlineLevel="0" collapsed="false">
      <c r="B49" s="23" t="s">
        <v>501</v>
      </c>
      <c r="C49" s="23" t="s">
        <v>502</v>
      </c>
      <c r="D49" s="23" t="s">
        <v>79</v>
      </c>
      <c r="E49" s="23" t="s">
        <v>475</v>
      </c>
      <c r="F49" s="25" t="s">
        <v>1223</v>
      </c>
      <c r="G49" s="25" t="s">
        <v>505</v>
      </c>
      <c r="H49" s="23" t="s">
        <v>1224</v>
      </c>
      <c r="I49" s="25" t="s">
        <v>129</v>
      </c>
      <c r="J49" s="25" t="s">
        <v>129</v>
      </c>
      <c r="K49" s="25" t="s">
        <v>129</v>
      </c>
      <c r="L49" s="25" t="s">
        <v>809</v>
      </c>
    </row>
    <row r="50" customFormat="false" ht="21.75" hidden="false" customHeight="true" outlineLevel="0" collapsed="false">
      <c r="B50" s="30" t="s">
        <v>510</v>
      </c>
      <c r="C50" s="30" t="s">
        <v>511</v>
      </c>
      <c r="D50" s="30" t="s">
        <v>79</v>
      </c>
      <c r="E50" s="30" t="s">
        <v>401</v>
      </c>
      <c r="F50" s="9" t="s">
        <v>129</v>
      </c>
      <c r="G50" s="9" t="s">
        <v>514</v>
      </c>
      <c r="H50" s="30" t="s">
        <v>625</v>
      </c>
      <c r="I50" s="9" t="s">
        <v>129</v>
      </c>
      <c r="J50" s="9" t="s">
        <v>129</v>
      </c>
      <c r="K50" s="9" t="s">
        <v>129</v>
      </c>
      <c r="L50" s="9" t="s">
        <v>129</v>
      </c>
    </row>
    <row r="51" customFormat="false" ht="36" hidden="false" customHeight="true" outlineLevel="0" collapsed="false">
      <c r="B51" s="27" t="s">
        <v>519</v>
      </c>
      <c r="C51" s="27" t="s">
        <v>520</v>
      </c>
      <c r="D51" s="27" t="s">
        <v>79</v>
      </c>
      <c r="E51" s="27" t="s">
        <v>401</v>
      </c>
      <c r="F51" s="7" t="s">
        <v>129</v>
      </c>
      <c r="G51" s="7" t="s">
        <v>514</v>
      </c>
      <c r="H51" s="27" t="s">
        <v>625</v>
      </c>
      <c r="I51" s="7" t="s">
        <v>129</v>
      </c>
      <c r="J51" s="7" t="s">
        <v>129</v>
      </c>
      <c r="K51" s="7" t="s">
        <v>129</v>
      </c>
      <c r="L51" s="7" t="s">
        <v>129</v>
      </c>
    </row>
    <row r="52" customFormat="false" ht="36" hidden="false" customHeight="true" outlineLevel="0" collapsed="false">
      <c r="B52" s="30" t="s">
        <v>527</v>
      </c>
      <c r="C52" s="30" t="s">
        <v>528</v>
      </c>
      <c r="D52" s="30" t="s">
        <v>79</v>
      </c>
      <c r="E52" s="30" t="s">
        <v>531</v>
      </c>
      <c r="F52" s="9" t="s">
        <v>1225</v>
      </c>
      <c r="G52" s="9" t="s">
        <v>532</v>
      </c>
      <c r="H52" s="30" t="s">
        <v>1208</v>
      </c>
      <c r="I52" s="9" t="s">
        <v>129</v>
      </c>
      <c r="J52" s="9" t="s">
        <v>1226</v>
      </c>
      <c r="K52" s="9" t="s">
        <v>129</v>
      </c>
      <c r="L52" s="9" t="s">
        <v>129</v>
      </c>
    </row>
    <row r="53" customFormat="false" ht="36" hidden="false" customHeight="true" outlineLevel="0" collapsed="false">
      <c r="B53" s="27" t="s">
        <v>537</v>
      </c>
      <c r="C53" s="27" t="s">
        <v>538</v>
      </c>
      <c r="D53" s="27" t="s">
        <v>79</v>
      </c>
      <c r="E53" s="27" t="s">
        <v>201</v>
      </c>
      <c r="F53" s="7" t="s">
        <v>1227</v>
      </c>
      <c r="G53" s="7" t="s">
        <v>541</v>
      </c>
      <c r="H53" s="27" t="s">
        <v>1208</v>
      </c>
      <c r="I53" s="7" t="s">
        <v>129</v>
      </c>
      <c r="J53" s="7" t="s">
        <v>129</v>
      </c>
      <c r="K53" s="7" t="s">
        <v>1228</v>
      </c>
      <c r="L53" s="7" t="s">
        <v>1214</v>
      </c>
    </row>
    <row r="54" customFormat="false" ht="51" hidden="false" customHeight="true" outlineLevel="0" collapsed="false">
      <c r="B54" s="30" t="s">
        <v>546</v>
      </c>
      <c r="C54" s="30" t="s">
        <v>547</v>
      </c>
      <c r="D54" s="30" t="s">
        <v>79</v>
      </c>
      <c r="E54" s="30" t="s">
        <v>219</v>
      </c>
      <c r="F54" s="9" t="s">
        <v>1229</v>
      </c>
      <c r="G54" s="9" t="s">
        <v>550</v>
      </c>
      <c r="H54" s="30" t="s">
        <v>1208</v>
      </c>
      <c r="I54" s="9" t="s">
        <v>129</v>
      </c>
      <c r="J54" s="9" t="s">
        <v>129</v>
      </c>
      <c r="K54" s="9" t="s">
        <v>129</v>
      </c>
      <c r="L54" s="9" t="s">
        <v>1183</v>
      </c>
    </row>
    <row r="55" customFormat="false" ht="51" hidden="false" customHeight="true" outlineLevel="0" collapsed="false">
      <c r="B55" s="27" t="s">
        <v>555</v>
      </c>
      <c r="C55" s="27" t="s">
        <v>556</v>
      </c>
      <c r="D55" s="27" t="s">
        <v>79</v>
      </c>
      <c r="E55" s="27" t="s">
        <v>475</v>
      </c>
      <c r="F55" s="7" t="s">
        <v>1230</v>
      </c>
      <c r="G55" s="7" t="s">
        <v>559</v>
      </c>
      <c r="H55" s="27" t="s">
        <v>1231</v>
      </c>
      <c r="I55" s="7" t="s">
        <v>129</v>
      </c>
      <c r="J55" s="7" t="s">
        <v>129</v>
      </c>
      <c r="K55" s="7" t="s">
        <v>129</v>
      </c>
      <c r="L55" s="7" t="s">
        <v>809</v>
      </c>
    </row>
    <row r="56" customFormat="false" ht="36" hidden="false" customHeight="true" outlineLevel="0" collapsed="false">
      <c r="B56" s="30" t="s">
        <v>564</v>
      </c>
      <c r="C56" s="30" t="s">
        <v>565</v>
      </c>
      <c r="D56" s="30" t="s">
        <v>79</v>
      </c>
      <c r="E56" s="30" t="s">
        <v>484</v>
      </c>
      <c r="F56" s="9" t="s">
        <v>1232</v>
      </c>
      <c r="G56" s="9" t="s">
        <v>568</v>
      </c>
      <c r="H56" s="30" t="s">
        <v>1208</v>
      </c>
      <c r="I56" s="9" t="s">
        <v>129</v>
      </c>
      <c r="J56" s="9" t="s">
        <v>129</v>
      </c>
      <c r="K56" s="9" t="s">
        <v>129</v>
      </c>
      <c r="L56" s="9" t="s">
        <v>129</v>
      </c>
    </row>
    <row r="57" customFormat="false" ht="36" hidden="false" customHeight="true" outlineLevel="0" collapsed="false">
      <c r="B57" s="27" t="s">
        <v>561</v>
      </c>
      <c r="C57" s="27" t="s">
        <v>573</v>
      </c>
      <c r="D57" s="27" t="s">
        <v>79</v>
      </c>
      <c r="E57" s="27" t="s">
        <v>576</v>
      </c>
      <c r="F57" s="7" t="s">
        <v>1233</v>
      </c>
      <c r="G57" s="7" t="s">
        <v>577</v>
      </c>
      <c r="H57" s="27" t="s">
        <v>1234</v>
      </c>
      <c r="I57" s="7" t="s">
        <v>129</v>
      </c>
      <c r="J57" s="7" t="s">
        <v>129</v>
      </c>
      <c r="K57" s="7" t="s">
        <v>129</v>
      </c>
      <c r="L57" s="7" t="s">
        <v>1235</v>
      </c>
    </row>
    <row r="58" customFormat="false" ht="36" hidden="false" customHeight="true" outlineLevel="0" collapsed="false">
      <c r="B58" s="30" t="s">
        <v>582</v>
      </c>
      <c r="C58" s="30" t="s">
        <v>583</v>
      </c>
      <c r="D58" s="30" t="s">
        <v>79</v>
      </c>
      <c r="E58" s="30" t="s">
        <v>586</v>
      </c>
      <c r="F58" s="9" t="s">
        <v>1236</v>
      </c>
      <c r="G58" s="9" t="s">
        <v>587</v>
      </c>
      <c r="H58" s="30" t="s">
        <v>129</v>
      </c>
      <c r="I58" s="9" t="s">
        <v>129</v>
      </c>
      <c r="J58" s="9" t="s">
        <v>129</v>
      </c>
      <c r="K58" s="9" t="s">
        <v>129</v>
      </c>
      <c r="L58" s="9" t="s">
        <v>1235</v>
      </c>
    </row>
    <row r="59" customFormat="false" ht="36" hidden="false" customHeight="true" outlineLevel="0" collapsed="false">
      <c r="B59" s="23" t="s">
        <v>591</v>
      </c>
      <c r="C59" s="23" t="s">
        <v>592</v>
      </c>
      <c r="D59" s="23" t="s">
        <v>80</v>
      </c>
      <c r="E59" s="23" t="s">
        <v>125</v>
      </c>
      <c r="F59" s="25" t="s">
        <v>1237</v>
      </c>
      <c r="G59" s="25" t="s">
        <v>595</v>
      </c>
      <c r="H59" s="23" t="s">
        <v>1238</v>
      </c>
      <c r="I59" s="25" t="s">
        <v>129</v>
      </c>
      <c r="J59" s="25" t="s">
        <v>129</v>
      </c>
      <c r="K59" s="25" t="s">
        <v>1239</v>
      </c>
      <c r="L59" s="25" t="s">
        <v>129</v>
      </c>
    </row>
    <row r="60" customFormat="false" ht="36" hidden="false" customHeight="true" outlineLevel="0" collapsed="false">
      <c r="B60" s="30" t="s">
        <v>552</v>
      </c>
      <c r="C60" s="30" t="s">
        <v>600</v>
      </c>
      <c r="D60" s="30" t="s">
        <v>80</v>
      </c>
      <c r="E60" s="30" t="s">
        <v>603</v>
      </c>
      <c r="F60" s="9" t="s">
        <v>1240</v>
      </c>
      <c r="G60" s="9" t="s">
        <v>604</v>
      </c>
      <c r="H60" s="30" t="s">
        <v>1238</v>
      </c>
      <c r="I60" s="9" t="s">
        <v>129</v>
      </c>
      <c r="J60" s="9" t="s">
        <v>129</v>
      </c>
      <c r="K60" s="9" t="s">
        <v>1241</v>
      </c>
      <c r="L60" s="9" t="s">
        <v>129</v>
      </c>
    </row>
    <row r="61" customFormat="false" ht="51" hidden="false" customHeight="true" outlineLevel="0" collapsed="false">
      <c r="B61" s="27" t="s">
        <v>609</v>
      </c>
      <c r="C61" s="27" t="s">
        <v>610</v>
      </c>
      <c r="D61" s="27" t="s">
        <v>80</v>
      </c>
      <c r="E61" s="27" t="s">
        <v>613</v>
      </c>
      <c r="F61" s="7" t="s">
        <v>1242</v>
      </c>
      <c r="G61" s="7" t="s">
        <v>614</v>
      </c>
      <c r="H61" s="27" t="s">
        <v>1243</v>
      </c>
      <c r="I61" s="7" t="s">
        <v>129</v>
      </c>
      <c r="J61" s="7" t="s">
        <v>129</v>
      </c>
      <c r="K61" s="7" t="s">
        <v>1244</v>
      </c>
      <c r="L61" s="7" t="s">
        <v>1245</v>
      </c>
    </row>
    <row r="62" customFormat="false" ht="36" hidden="false" customHeight="true" outlineLevel="0" collapsed="false">
      <c r="B62" s="30" t="s">
        <v>621</v>
      </c>
      <c r="C62" s="30" t="s">
        <v>622</v>
      </c>
      <c r="D62" s="30" t="s">
        <v>80</v>
      </c>
      <c r="E62" s="30" t="s">
        <v>625</v>
      </c>
      <c r="F62" s="9" t="s">
        <v>1246</v>
      </c>
      <c r="G62" s="9" t="s">
        <v>129</v>
      </c>
      <c r="H62" s="30" t="s">
        <v>1243</v>
      </c>
      <c r="I62" s="9" t="s">
        <v>129</v>
      </c>
      <c r="J62" s="9" t="s">
        <v>129</v>
      </c>
      <c r="K62" s="9" t="s">
        <v>1241</v>
      </c>
      <c r="L62" s="9" t="s">
        <v>129</v>
      </c>
    </row>
    <row r="63" customFormat="false" ht="36" hidden="false" customHeight="true" outlineLevel="0" collapsed="false">
      <c r="B63" s="27" t="s">
        <v>629</v>
      </c>
      <c r="C63" s="27" t="s">
        <v>630</v>
      </c>
      <c r="D63" s="27" t="s">
        <v>80</v>
      </c>
      <c r="E63" s="27" t="s">
        <v>603</v>
      </c>
      <c r="F63" s="7" t="s">
        <v>1247</v>
      </c>
      <c r="G63" s="7" t="s">
        <v>604</v>
      </c>
      <c r="H63" s="27" t="s">
        <v>1238</v>
      </c>
      <c r="I63" s="7" t="s">
        <v>129</v>
      </c>
      <c r="J63" s="7" t="s">
        <v>1194</v>
      </c>
      <c r="K63" s="7" t="s">
        <v>129</v>
      </c>
      <c r="L63" s="7" t="s">
        <v>129</v>
      </c>
    </row>
    <row r="64" customFormat="false" ht="36" hidden="false" customHeight="true" outlineLevel="0" collapsed="false">
      <c r="B64" s="30" t="s">
        <v>637</v>
      </c>
      <c r="C64" s="30" t="s">
        <v>638</v>
      </c>
      <c r="D64" s="30" t="s">
        <v>80</v>
      </c>
      <c r="E64" s="30" t="s">
        <v>625</v>
      </c>
      <c r="F64" s="9" t="s">
        <v>1248</v>
      </c>
      <c r="G64" s="9" t="s">
        <v>641</v>
      </c>
      <c r="H64" s="30" t="s">
        <v>1243</v>
      </c>
      <c r="I64" s="9" t="s">
        <v>129</v>
      </c>
      <c r="J64" s="9" t="s">
        <v>129</v>
      </c>
      <c r="K64" s="9" t="s">
        <v>1249</v>
      </c>
      <c r="L64" s="9" t="s">
        <v>1245</v>
      </c>
    </row>
    <row r="65" customFormat="false" ht="36" hidden="false" customHeight="true" outlineLevel="0" collapsed="false">
      <c r="B65" s="23" t="s">
        <v>646</v>
      </c>
      <c r="C65" s="23" t="s">
        <v>647</v>
      </c>
      <c r="D65" s="23" t="s">
        <v>81</v>
      </c>
      <c r="E65" s="23" t="s">
        <v>201</v>
      </c>
      <c r="F65" s="25" t="s">
        <v>1250</v>
      </c>
      <c r="G65" s="25" t="s">
        <v>129</v>
      </c>
      <c r="H65" s="23" t="s">
        <v>129</v>
      </c>
      <c r="I65" s="25" t="s">
        <v>1251</v>
      </c>
      <c r="J65" s="25" t="s">
        <v>129</v>
      </c>
      <c r="K65" s="25" t="s">
        <v>129</v>
      </c>
      <c r="L65" s="25" t="s">
        <v>129</v>
      </c>
    </row>
    <row r="66" customFormat="false" ht="36" hidden="false" customHeight="true" outlineLevel="0" collapsed="false">
      <c r="B66" s="30" t="s">
        <v>654</v>
      </c>
      <c r="C66" s="30" t="s">
        <v>655</v>
      </c>
      <c r="D66" s="30" t="s">
        <v>81</v>
      </c>
      <c r="E66" s="30" t="s">
        <v>201</v>
      </c>
      <c r="F66" s="9" t="s">
        <v>1252</v>
      </c>
      <c r="G66" s="9" t="s">
        <v>129</v>
      </c>
      <c r="H66" s="30" t="s">
        <v>129</v>
      </c>
      <c r="I66" s="9" t="s">
        <v>1251</v>
      </c>
      <c r="J66" s="9" t="s">
        <v>1253</v>
      </c>
      <c r="K66" s="9" t="s">
        <v>129</v>
      </c>
      <c r="L66" s="9" t="s">
        <v>129</v>
      </c>
    </row>
    <row r="67" customFormat="false" ht="51" hidden="false" customHeight="true" outlineLevel="0" collapsed="false">
      <c r="B67" s="27" t="s">
        <v>662</v>
      </c>
      <c r="C67" s="27" t="s">
        <v>663</v>
      </c>
      <c r="D67" s="27" t="s">
        <v>81</v>
      </c>
      <c r="E67" s="27" t="s">
        <v>201</v>
      </c>
      <c r="F67" s="7" t="s">
        <v>1254</v>
      </c>
      <c r="G67" s="7" t="s">
        <v>129</v>
      </c>
      <c r="H67" s="27" t="s">
        <v>129</v>
      </c>
      <c r="I67" s="7" t="s">
        <v>129</v>
      </c>
      <c r="J67" s="7" t="s">
        <v>1255</v>
      </c>
      <c r="K67" s="7" t="s">
        <v>129</v>
      </c>
      <c r="L67" s="7" t="s">
        <v>129</v>
      </c>
    </row>
    <row r="68" customFormat="false" ht="36" hidden="false" customHeight="true" outlineLevel="0" collapsed="false">
      <c r="B68" s="30" t="s">
        <v>668</v>
      </c>
      <c r="C68" s="30" t="s">
        <v>669</v>
      </c>
      <c r="D68" s="30" t="s">
        <v>81</v>
      </c>
      <c r="E68" s="30" t="s">
        <v>672</v>
      </c>
      <c r="F68" s="9" t="s">
        <v>1256</v>
      </c>
      <c r="G68" s="9" t="s">
        <v>129</v>
      </c>
      <c r="H68" s="30" t="s">
        <v>129</v>
      </c>
      <c r="I68" s="9" t="s">
        <v>129</v>
      </c>
      <c r="J68" s="9" t="s">
        <v>129</v>
      </c>
      <c r="K68" s="9" t="s">
        <v>129</v>
      </c>
      <c r="L68" s="9" t="s">
        <v>129</v>
      </c>
    </row>
    <row r="69" customFormat="false" ht="36" hidden="false" customHeight="true" outlineLevel="0" collapsed="false">
      <c r="B69" s="27" t="s">
        <v>675</v>
      </c>
      <c r="C69" s="27" t="s">
        <v>676</v>
      </c>
      <c r="D69" s="27" t="s">
        <v>81</v>
      </c>
      <c r="E69" s="27" t="s">
        <v>672</v>
      </c>
      <c r="F69" s="7" t="s">
        <v>1257</v>
      </c>
      <c r="G69" s="7" t="s">
        <v>129</v>
      </c>
      <c r="H69" s="27" t="s">
        <v>129</v>
      </c>
      <c r="I69" s="7" t="s">
        <v>129</v>
      </c>
      <c r="J69" s="7" t="s">
        <v>1211</v>
      </c>
      <c r="K69" s="7" t="s">
        <v>129</v>
      </c>
      <c r="L69" s="7" t="s">
        <v>1214</v>
      </c>
    </row>
    <row r="70" customFormat="false" ht="36" hidden="false" customHeight="true" outlineLevel="0" collapsed="false">
      <c r="B70" s="30" t="s">
        <v>682</v>
      </c>
      <c r="C70" s="30" t="s">
        <v>683</v>
      </c>
      <c r="D70" s="30" t="s">
        <v>81</v>
      </c>
      <c r="E70" s="30" t="s">
        <v>206</v>
      </c>
      <c r="F70" s="9" t="s">
        <v>1256</v>
      </c>
      <c r="G70" s="9" t="s">
        <v>129</v>
      </c>
      <c r="H70" s="30" t="s">
        <v>129</v>
      </c>
      <c r="I70" s="9" t="s">
        <v>129</v>
      </c>
      <c r="J70" s="9" t="s">
        <v>129</v>
      </c>
      <c r="K70" s="9" t="s">
        <v>129</v>
      </c>
      <c r="L70" s="9" t="s">
        <v>129</v>
      </c>
    </row>
    <row r="71" customFormat="false" ht="36" hidden="false" customHeight="true" outlineLevel="0" collapsed="false">
      <c r="B71" s="27" t="s">
        <v>690</v>
      </c>
      <c r="C71" s="27" t="s">
        <v>691</v>
      </c>
      <c r="D71" s="27" t="s">
        <v>81</v>
      </c>
      <c r="E71" s="27" t="s">
        <v>201</v>
      </c>
      <c r="F71" s="7" t="s">
        <v>1258</v>
      </c>
      <c r="G71" s="7" t="s">
        <v>129</v>
      </c>
      <c r="H71" s="27" t="s">
        <v>129</v>
      </c>
      <c r="I71" s="7" t="s">
        <v>1259</v>
      </c>
      <c r="J71" s="7" t="s">
        <v>129</v>
      </c>
      <c r="K71" s="7" t="s">
        <v>129</v>
      </c>
      <c r="L71" s="7" t="s">
        <v>129</v>
      </c>
    </row>
    <row r="72" customFormat="false" ht="36" hidden="false" customHeight="true" outlineLevel="0" collapsed="false">
      <c r="B72" s="30" t="s">
        <v>698</v>
      </c>
      <c r="C72" s="30" t="s">
        <v>699</v>
      </c>
      <c r="D72" s="30" t="s">
        <v>81</v>
      </c>
      <c r="E72" s="30" t="s">
        <v>206</v>
      </c>
      <c r="F72" s="9" t="s">
        <v>1260</v>
      </c>
      <c r="G72" s="9" t="s">
        <v>129</v>
      </c>
      <c r="H72" s="30" t="s">
        <v>129</v>
      </c>
      <c r="I72" s="9" t="s">
        <v>1261</v>
      </c>
      <c r="J72" s="9" t="s">
        <v>129</v>
      </c>
      <c r="K72" s="9" t="s">
        <v>129</v>
      </c>
      <c r="L72" s="9" t="s">
        <v>1245</v>
      </c>
    </row>
    <row r="73" customFormat="false" ht="51" hidden="false" customHeight="true" outlineLevel="0" collapsed="false">
      <c r="B73" s="27" t="s">
        <v>707</v>
      </c>
      <c r="C73" s="27" t="s">
        <v>708</v>
      </c>
      <c r="D73" s="27" t="s">
        <v>81</v>
      </c>
      <c r="E73" s="27" t="s">
        <v>711</v>
      </c>
      <c r="F73" s="7" t="s">
        <v>1186</v>
      </c>
      <c r="G73" s="7" t="s">
        <v>129</v>
      </c>
      <c r="H73" s="27" t="s">
        <v>129</v>
      </c>
      <c r="I73" s="7" t="s">
        <v>1187</v>
      </c>
      <c r="J73" s="7" t="s">
        <v>129</v>
      </c>
      <c r="K73" s="7" t="s">
        <v>129</v>
      </c>
      <c r="L73" s="7" t="s">
        <v>1262</v>
      </c>
    </row>
    <row r="74" customFormat="false" ht="51" hidden="false" customHeight="true" outlineLevel="0" collapsed="false">
      <c r="B74" s="30" t="s">
        <v>716</v>
      </c>
      <c r="C74" s="30" t="s">
        <v>717</v>
      </c>
      <c r="D74" s="30" t="s">
        <v>81</v>
      </c>
      <c r="E74" s="30" t="s">
        <v>672</v>
      </c>
      <c r="F74" s="9" t="s">
        <v>1263</v>
      </c>
      <c r="G74" s="9" t="s">
        <v>129</v>
      </c>
      <c r="H74" s="30" t="s">
        <v>129</v>
      </c>
      <c r="I74" s="9" t="s">
        <v>1264</v>
      </c>
      <c r="J74" s="9" t="s">
        <v>129</v>
      </c>
      <c r="K74" s="9" t="s">
        <v>129</v>
      </c>
      <c r="L74" s="9" t="s">
        <v>1265</v>
      </c>
    </row>
    <row r="75" customFormat="false" ht="51" hidden="false" customHeight="true" outlineLevel="0" collapsed="false">
      <c r="B75" s="27" t="s">
        <v>723</v>
      </c>
      <c r="C75" s="27" t="s">
        <v>724</v>
      </c>
      <c r="D75" s="27" t="s">
        <v>81</v>
      </c>
      <c r="E75" s="27" t="s">
        <v>672</v>
      </c>
      <c r="F75" s="7" t="s">
        <v>1266</v>
      </c>
      <c r="G75" s="7" t="s">
        <v>129</v>
      </c>
      <c r="H75" s="27" t="s">
        <v>129</v>
      </c>
      <c r="I75" s="7" t="s">
        <v>1267</v>
      </c>
      <c r="J75" s="7" t="s">
        <v>129</v>
      </c>
      <c r="K75" s="7" t="s">
        <v>129</v>
      </c>
      <c r="L75" s="7" t="s">
        <v>1235</v>
      </c>
    </row>
    <row r="76" customFormat="false" ht="36" hidden="false" customHeight="true" outlineLevel="0" collapsed="false">
      <c r="B76" s="30" t="s">
        <v>730</v>
      </c>
      <c r="C76" s="30" t="s">
        <v>731</v>
      </c>
      <c r="D76" s="30" t="s">
        <v>81</v>
      </c>
      <c r="E76" s="30" t="s">
        <v>672</v>
      </c>
      <c r="F76" s="9" t="s">
        <v>1256</v>
      </c>
      <c r="G76" s="9" t="s">
        <v>129</v>
      </c>
      <c r="H76" s="30" t="s">
        <v>129</v>
      </c>
      <c r="I76" s="9" t="s">
        <v>129</v>
      </c>
      <c r="J76" s="9" t="s">
        <v>129</v>
      </c>
      <c r="K76" s="9" t="s">
        <v>129</v>
      </c>
      <c r="L76" s="9" t="s">
        <v>1199</v>
      </c>
    </row>
    <row r="77" customFormat="false" ht="36" hidden="false" customHeight="true" outlineLevel="0" collapsed="false">
      <c r="B77" s="27" t="s">
        <v>737</v>
      </c>
      <c r="C77" s="27" t="s">
        <v>738</v>
      </c>
      <c r="D77" s="27" t="s">
        <v>81</v>
      </c>
      <c r="E77" s="27" t="s">
        <v>672</v>
      </c>
      <c r="F77" s="7" t="s">
        <v>1268</v>
      </c>
      <c r="G77" s="7" t="s">
        <v>129</v>
      </c>
      <c r="H77" s="27" t="s">
        <v>129</v>
      </c>
      <c r="I77" s="7" t="s">
        <v>129</v>
      </c>
      <c r="J77" s="7" t="s">
        <v>129</v>
      </c>
      <c r="K77" s="7" t="s">
        <v>129</v>
      </c>
      <c r="L77" s="7" t="s">
        <v>129</v>
      </c>
    </row>
    <row r="78" customFormat="false" ht="36" hidden="false" customHeight="true" outlineLevel="0" collapsed="false">
      <c r="B78" s="30" t="s">
        <v>743</v>
      </c>
      <c r="C78" s="30" t="s">
        <v>744</v>
      </c>
      <c r="D78" s="30" t="s">
        <v>81</v>
      </c>
      <c r="E78" s="30" t="s">
        <v>125</v>
      </c>
      <c r="F78" s="9" t="s">
        <v>1269</v>
      </c>
      <c r="G78" s="9" t="s">
        <v>129</v>
      </c>
      <c r="H78" s="30" t="s">
        <v>129</v>
      </c>
      <c r="I78" s="9" t="s">
        <v>129</v>
      </c>
      <c r="J78" s="9" t="s">
        <v>129</v>
      </c>
      <c r="K78" s="9" t="s">
        <v>129</v>
      </c>
      <c r="L78" s="9" t="s">
        <v>129</v>
      </c>
    </row>
    <row r="79" customFormat="false" ht="36" hidden="false" customHeight="true" outlineLevel="0" collapsed="false">
      <c r="B79" s="27" t="s">
        <v>751</v>
      </c>
      <c r="C79" s="27" t="s">
        <v>752</v>
      </c>
      <c r="D79" s="27" t="s">
        <v>81</v>
      </c>
      <c r="E79" s="27" t="s">
        <v>125</v>
      </c>
      <c r="F79" s="7" t="s">
        <v>1256</v>
      </c>
      <c r="G79" s="7" t="s">
        <v>129</v>
      </c>
      <c r="H79" s="27" t="s">
        <v>129</v>
      </c>
      <c r="I79" s="7" t="s">
        <v>129</v>
      </c>
      <c r="J79" s="7" t="s">
        <v>129</v>
      </c>
      <c r="K79" s="7" t="s">
        <v>129</v>
      </c>
      <c r="L79" s="7" t="s">
        <v>129</v>
      </c>
    </row>
    <row r="80" customFormat="false" ht="36" hidden="false" customHeight="true" outlineLevel="0" collapsed="false">
      <c r="B80" s="30" t="s">
        <v>757</v>
      </c>
      <c r="C80" s="30" t="s">
        <v>758</v>
      </c>
      <c r="D80" s="30" t="s">
        <v>81</v>
      </c>
      <c r="E80" s="30" t="s">
        <v>125</v>
      </c>
      <c r="F80" s="9" t="s">
        <v>1256</v>
      </c>
      <c r="G80" s="9" t="s">
        <v>129</v>
      </c>
      <c r="H80" s="30" t="s">
        <v>129</v>
      </c>
      <c r="I80" s="9" t="s">
        <v>129</v>
      </c>
      <c r="J80" s="9" t="s">
        <v>129</v>
      </c>
      <c r="K80" s="9" t="s">
        <v>129</v>
      </c>
      <c r="L80" s="9" t="s">
        <v>129</v>
      </c>
    </row>
    <row r="81" customFormat="false" ht="36" hidden="false" customHeight="true" outlineLevel="0" collapsed="false">
      <c r="B81" s="27" t="s">
        <v>765</v>
      </c>
      <c r="C81" s="27" t="s">
        <v>766</v>
      </c>
      <c r="D81" s="27" t="s">
        <v>81</v>
      </c>
      <c r="E81" s="27" t="s">
        <v>125</v>
      </c>
      <c r="F81" s="7" t="s">
        <v>1270</v>
      </c>
      <c r="G81" s="7" t="s">
        <v>129</v>
      </c>
      <c r="H81" s="27" t="s">
        <v>129</v>
      </c>
      <c r="I81" s="7" t="s">
        <v>129</v>
      </c>
      <c r="J81" s="7" t="s">
        <v>129</v>
      </c>
      <c r="K81" s="7" t="s">
        <v>129</v>
      </c>
      <c r="L81" s="7" t="s">
        <v>129</v>
      </c>
    </row>
    <row r="82" customFormat="false" ht="36" hidden="false" customHeight="true" outlineLevel="0" collapsed="false">
      <c r="B82" s="33" t="s">
        <v>361</v>
      </c>
      <c r="C82" s="33" t="s">
        <v>772</v>
      </c>
      <c r="D82" s="33" t="s">
        <v>82</v>
      </c>
      <c r="E82" s="33" t="s">
        <v>775</v>
      </c>
      <c r="F82" s="35" t="s">
        <v>777</v>
      </c>
      <c r="G82" s="35" t="s">
        <v>129</v>
      </c>
      <c r="H82" s="33" t="s">
        <v>129</v>
      </c>
      <c r="I82" s="35" t="s">
        <v>129</v>
      </c>
      <c r="J82" s="35" t="s">
        <v>129</v>
      </c>
      <c r="K82" s="35" t="s">
        <v>129</v>
      </c>
      <c r="L82" s="35" t="s">
        <v>129</v>
      </c>
    </row>
    <row r="83" customFormat="false" ht="36" hidden="false" customHeight="true" outlineLevel="0" collapsed="false">
      <c r="B83" s="27" t="s">
        <v>779</v>
      </c>
      <c r="C83" s="27" t="s">
        <v>780</v>
      </c>
      <c r="D83" s="27" t="s">
        <v>82</v>
      </c>
      <c r="E83" s="27" t="s">
        <v>783</v>
      </c>
      <c r="F83" s="7" t="s">
        <v>735</v>
      </c>
      <c r="G83" s="7" t="s">
        <v>129</v>
      </c>
      <c r="H83" s="27" t="s">
        <v>129</v>
      </c>
      <c r="I83" s="7" t="s">
        <v>129</v>
      </c>
      <c r="J83" s="7" t="s">
        <v>129</v>
      </c>
      <c r="K83" s="7" t="s">
        <v>129</v>
      </c>
      <c r="L83" s="7" t="s">
        <v>1199</v>
      </c>
    </row>
    <row r="84" customFormat="false" ht="36" hidden="false" customHeight="true" outlineLevel="0" collapsed="false">
      <c r="B84" s="30" t="s">
        <v>786</v>
      </c>
      <c r="C84" s="30" t="s">
        <v>787</v>
      </c>
      <c r="D84" s="30" t="s">
        <v>82</v>
      </c>
      <c r="E84" s="30" t="s">
        <v>125</v>
      </c>
      <c r="F84" s="9" t="s">
        <v>129</v>
      </c>
      <c r="G84" s="9" t="s">
        <v>129</v>
      </c>
      <c r="H84" s="30" t="s">
        <v>129</v>
      </c>
      <c r="I84" s="9" t="s">
        <v>129</v>
      </c>
      <c r="J84" s="9" t="s">
        <v>129</v>
      </c>
      <c r="K84" s="9" t="s">
        <v>129</v>
      </c>
      <c r="L84" s="9" t="s">
        <v>129</v>
      </c>
    </row>
    <row r="85" customFormat="false" ht="51" hidden="false" customHeight="true" outlineLevel="0" collapsed="false">
      <c r="B85" s="27" t="s">
        <v>792</v>
      </c>
      <c r="C85" s="27" t="s">
        <v>793</v>
      </c>
      <c r="D85" s="27" t="s">
        <v>82</v>
      </c>
      <c r="E85" s="27" t="s">
        <v>796</v>
      </c>
      <c r="F85" s="7" t="s">
        <v>129</v>
      </c>
      <c r="G85" s="7" t="s">
        <v>129</v>
      </c>
      <c r="H85" s="27" t="s">
        <v>129</v>
      </c>
      <c r="I85" s="7" t="s">
        <v>129</v>
      </c>
      <c r="J85" s="7" t="s">
        <v>129</v>
      </c>
      <c r="K85" s="7" t="s">
        <v>129</v>
      </c>
      <c r="L85" s="7" t="s">
        <v>129</v>
      </c>
    </row>
    <row r="86" customFormat="false" ht="36" hidden="false" customHeight="true" outlineLevel="0" collapsed="false">
      <c r="B86" s="30" t="s">
        <v>344</v>
      </c>
      <c r="C86" s="30" t="s">
        <v>800</v>
      </c>
      <c r="D86" s="30" t="s">
        <v>82</v>
      </c>
      <c r="E86" s="30" t="s">
        <v>796</v>
      </c>
      <c r="F86" s="9" t="s">
        <v>345</v>
      </c>
      <c r="G86" s="9" t="s">
        <v>129</v>
      </c>
      <c r="H86" s="30" t="s">
        <v>129</v>
      </c>
      <c r="I86" s="9" t="s">
        <v>129</v>
      </c>
      <c r="J86" s="9" t="s">
        <v>129</v>
      </c>
      <c r="K86" s="9" t="s">
        <v>129</v>
      </c>
      <c r="L86" s="9" t="s">
        <v>1199</v>
      </c>
    </row>
    <row r="87" customFormat="false" ht="21.75" hidden="false" customHeight="true" outlineLevel="0" collapsed="false">
      <c r="B87" s="27" t="s">
        <v>805</v>
      </c>
      <c r="C87" s="27" t="s">
        <v>806</v>
      </c>
      <c r="D87" s="27" t="s">
        <v>82</v>
      </c>
      <c r="E87" s="27" t="s">
        <v>809</v>
      </c>
      <c r="F87" s="7" t="s">
        <v>812</v>
      </c>
      <c r="G87" s="7" t="s">
        <v>129</v>
      </c>
      <c r="H87" s="27" t="s">
        <v>129</v>
      </c>
      <c r="I87" s="7" t="s">
        <v>129</v>
      </c>
      <c r="J87" s="7" t="s">
        <v>129</v>
      </c>
      <c r="K87" s="7" t="s">
        <v>129</v>
      </c>
      <c r="L87" s="7" t="s">
        <v>809</v>
      </c>
    </row>
    <row r="88" customFormat="false" ht="36" hidden="false" customHeight="true" outlineLevel="0" collapsed="false">
      <c r="B88" s="30" t="s">
        <v>814</v>
      </c>
      <c r="C88" s="30" t="s">
        <v>815</v>
      </c>
      <c r="D88" s="30" t="s">
        <v>82</v>
      </c>
      <c r="E88" s="30" t="s">
        <v>818</v>
      </c>
      <c r="F88" s="9" t="s">
        <v>129</v>
      </c>
      <c r="G88" s="9" t="s">
        <v>129</v>
      </c>
      <c r="H88" s="30" t="s">
        <v>129</v>
      </c>
      <c r="I88" s="9" t="s">
        <v>129</v>
      </c>
      <c r="J88" s="9" t="s">
        <v>129</v>
      </c>
      <c r="K88" s="9" t="s">
        <v>129</v>
      </c>
      <c r="L88" s="9" t="s">
        <v>809</v>
      </c>
    </row>
    <row r="89" customFormat="false" ht="21.75" hidden="false" customHeight="true" outlineLevel="0" collapsed="false">
      <c r="B89" s="27" t="s">
        <v>823</v>
      </c>
      <c r="C89" s="27" t="s">
        <v>824</v>
      </c>
      <c r="D89" s="27" t="s">
        <v>82</v>
      </c>
      <c r="E89" s="27" t="s">
        <v>827</v>
      </c>
      <c r="F89" s="7" t="s">
        <v>129</v>
      </c>
      <c r="G89" s="7" t="s">
        <v>129</v>
      </c>
      <c r="H89" s="27" t="s">
        <v>129</v>
      </c>
      <c r="I89" s="7" t="s">
        <v>129</v>
      </c>
      <c r="J89" s="7" t="s">
        <v>129</v>
      </c>
      <c r="K89" s="7" t="s">
        <v>129</v>
      </c>
      <c r="L89" s="7" t="s">
        <v>1271</v>
      </c>
    </row>
    <row r="90" customFormat="false" ht="36" hidden="false" customHeight="true" outlineLevel="0" collapsed="false">
      <c r="B90" s="30" t="s">
        <v>832</v>
      </c>
      <c r="C90" s="30" t="s">
        <v>833</v>
      </c>
      <c r="D90" s="30" t="s">
        <v>82</v>
      </c>
      <c r="E90" s="30" t="s">
        <v>809</v>
      </c>
      <c r="F90" s="9" t="s">
        <v>129</v>
      </c>
      <c r="G90" s="9" t="s">
        <v>129</v>
      </c>
      <c r="H90" s="30" t="s">
        <v>129</v>
      </c>
      <c r="I90" s="9" t="s">
        <v>129</v>
      </c>
      <c r="J90" s="9" t="s">
        <v>129</v>
      </c>
      <c r="K90" s="9" t="s">
        <v>129</v>
      </c>
      <c r="L90" s="9" t="s">
        <v>809</v>
      </c>
    </row>
    <row r="91" customFormat="false" ht="51" hidden="false" customHeight="true" outlineLevel="0" collapsed="false">
      <c r="B91" s="27" t="s">
        <v>837</v>
      </c>
      <c r="C91" s="27" t="s">
        <v>838</v>
      </c>
      <c r="D91" s="27" t="s">
        <v>82</v>
      </c>
      <c r="E91" s="27" t="s">
        <v>841</v>
      </c>
      <c r="F91" s="7" t="s">
        <v>129</v>
      </c>
      <c r="G91" s="7" t="s">
        <v>129</v>
      </c>
      <c r="H91" s="27" t="s">
        <v>129</v>
      </c>
      <c r="I91" s="7" t="s">
        <v>129</v>
      </c>
      <c r="J91" s="7" t="s">
        <v>129</v>
      </c>
      <c r="K91" s="7" t="s">
        <v>129</v>
      </c>
      <c r="L91" s="7" t="s">
        <v>129</v>
      </c>
    </row>
    <row r="92" customFormat="false" ht="36" hidden="false" customHeight="true" outlineLevel="0" collapsed="false">
      <c r="B92" s="30" t="s">
        <v>506</v>
      </c>
      <c r="C92" s="30" t="s">
        <v>845</v>
      </c>
      <c r="D92" s="30" t="s">
        <v>82</v>
      </c>
      <c r="E92" s="30" t="s">
        <v>809</v>
      </c>
      <c r="F92" s="9" t="s">
        <v>1272</v>
      </c>
      <c r="G92" s="9" t="s">
        <v>129</v>
      </c>
      <c r="H92" s="30" t="s">
        <v>129</v>
      </c>
      <c r="I92" s="9" t="s">
        <v>129</v>
      </c>
      <c r="J92" s="9" t="s">
        <v>129</v>
      </c>
      <c r="K92" s="9" t="s">
        <v>129</v>
      </c>
      <c r="L92" s="9" t="s">
        <v>809</v>
      </c>
    </row>
    <row r="93" customFormat="false" ht="21.75" hidden="false" customHeight="true" outlineLevel="0" collapsed="false">
      <c r="B93" s="27" t="s">
        <v>850</v>
      </c>
      <c r="C93" s="27" t="s">
        <v>851</v>
      </c>
      <c r="D93" s="27" t="s">
        <v>82</v>
      </c>
      <c r="E93" s="27" t="s">
        <v>854</v>
      </c>
      <c r="F93" s="7" t="s">
        <v>129</v>
      </c>
      <c r="G93" s="7" t="s">
        <v>129</v>
      </c>
      <c r="H93" s="27" t="s">
        <v>129</v>
      </c>
      <c r="I93" s="7" t="s">
        <v>129</v>
      </c>
      <c r="J93" s="7" t="s">
        <v>129</v>
      </c>
      <c r="K93" s="7" t="s">
        <v>129</v>
      </c>
      <c r="L93" s="7" t="s">
        <v>129</v>
      </c>
    </row>
    <row r="94" customFormat="false" ht="36" hidden="false" customHeight="true" outlineLevel="0" collapsed="false">
      <c r="B94" s="30" t="s">
        <v>345</v>
      </c>
      <c r="C94" s="30" t="s">
        <v>859</v>
      </c>
      <c r="D94" s="30" t="s">
        <v>82</v>
      </c>
      <c r="E94" s="30" t="s">
        <v>862</v>
      </c>
      <c r="F94" s="9" t="s">
        <v>1273</v>
      </c>
      <c r="G94" s="9" t="s">
        <v>129</v>
      </c>
      <c r="H94" s="30" t="s">
        <v>129</v>
      </c>
      <c r="I94" s="9" t="s">
        <v>129</v>
      </c>
      <c r="J94" s="9" t="s">
        <v>129</v>
      </c>
      <c r="K94" s="9" t="s">
        <v>129</v>
      </c>
      <c r="L94" s="9" t="s">
        <v>129</v>
      </c>
    </row>
    <row r="95" customFormat="false" ht="51" hidden="false" customHeight="true" outlineLevel="0" collapsed="false">
      <c r="B95" s="27" t="s">
        <v>866</v>
      </c>
      <c r="C95" s="27" t="s">
        <v>867</v>
      </c>
      <c r="D95" s="27" t="s">
        <v>82</v>
      </c>
      <c r="E95" s="27" t="s">
        <v>870</v>
      </c>
      <c r="F95" s="7" t="s">
        <v>129</v>
      </c>
      <c r="G95" s="7" t="s">
        <v>129</v>
      </c>
      <c r="H95" s="27" t="s">
        <v>129</v>
      </c>
      <c r="I95" s="7" t="s">
        <v>129</v>
      </c>
      <c r="J95" s="7" t="s">
        <v>129</v>
      </c>
      <c r="K95" s="7" t="s">
        <v>129</v>
      </c>
      <c r="L95" s="7" t="s">
        <v>129</v>
      </c>
    </row>
    <row r="96" customFormat="false" ht="36" hidden="false" customHeight="true" outlineLevel="0" collapsed="false">
      <c r="B96" s="30" t="s">
        <v>161</v>
      </c>
      <c r="C96" s="30" t="s">
        <v>874</v>
      </c>
      <c r="D96" s="30" t="s">
        <v>82</v>
      </c>
      <c r="E96" s="30" t="s">
        <v>870</v>
      </c>
      <c r="F96" s="9" t="s">
        <v>1274</v>
      </c>
      <c r="G96" s="9" t="s">
        <v>129</v>
      </c>
      <c r="H96" s="30" t="s">
        <v>129</v>
      </c>
      <c r="I96" s="9" t="s">
        <v>129</v>
      </c>
      <c r="J96" s="9" t="s">
        <v>129</v>
      </c>
      <c r="K96" s="9" t="s">
        <v>129</v>
      </c>
      <c r="L96" s="9" t="s">
        <v>129</v>
      </c>
    </row>
    <row r="97" customFormat="false" ht="36" hidden="false" customHeight="true" outlineLevel="0" collapsed="false">
      <c r="B97" s="27" t="s">
        <v>878</v>
      </c>
      <c r="C97" s="27" t="s">
        <v>880</v>
      </c>
      <c r="D97" s="27" t="s">
        <v>82</v>
      </c>
      <c r="E97" s="27" t="s">
        <v>870</v>
      </c>
      <c r="F97" s="7" t="s">
        <v>129</v>
      </c>
      <c r="G97" s="7" t="s">
        <v>129</v>
      </c>
      <c r="H97" s="27" t="s">
        <v>129</v>
      </c>
      <c r="I97" s="7" t="s">
        <v>129</v>
      </c>
      <c r="J97" s="7" t="s">
        <v>129</v>
      </c>
      <c r="K97" s="7" t="s">
        <v>1181</v>
      </c>
      <c r="L97" s="7" t="s">
        <v>129</v>
      </c>
    </row>
    <row r="98" customFormat="false" ht="36" hidden="false" customHeight="true" outlineLevel="0" collapsed="false">
      <c r="B98" s="30" t="s">
        <v>885</v>
      </c>
      <c r="C98" s="30" t="s">
        <v>886</v>
      </c>
      <c r="D98" s="30" t="s">
        <v>82</v>
      </c>
      <c r="E98" s="30" t="s">
        <v>889</v>
      </c>
      <c r="F98" s="9" t="s">
        <v>129</v>
      </c>
      <c r="G98" s="9" t="s">
        <v>129</v>
      </c>
      <c r="H98" s="30" t="s">
        <v>129</v>
      </c>
      <c r="I98" s="9" t="s">
        <v>129</v>
      </c>
      <c r="J98" s="9" t="s">
        <v>129</v>
      </c>
      <c r="K98" s="9" t="s">
        <v>129</v>
      </c>
      <c r="L98" s="9" t="s">
        <v>129</v>
      </c>
    </row>
    <row r="99" customFormat="false" ht="36" hidden="false" customHeight="true" outlineLevel="0" collapsed="false">
      <c r="B99" s="27" t="s">
        <v>892</v>
      </c>
      <c r="C99" s="27" t="s">
        <v>893</v>
      </c>
      <c r="D99" s="27" t="s">
        <v>82</v>
      </c>
      <c r="E99" s="27" t="s">
        <v>896</v>
      </c>
      <c r="F99" s="7" t="s">
        <v>1275</v>
      </c>
      <c r="G99" s="7" t="s">
        <v>129</v>
      </c>
      <c r="H99" s="27" t="s">
        <v>129</v>
      </c>
      <c r="I99" s="7" t="s">
        <v>129</v>
      </c>
      <c r="J99" s="7" t="s">
        <v>129</v>
      </c>
      <c r="K99" s="7" t="s">
        <v>129</v>
      </c>
      <c r="L99" s="7" t="s">
        <v>129</v>
      </c>
    </row>
    <row r="100" customFormat="false" ht="36" hidden="false" customHeight="true" outlineLevel="0" collapsed="false">
      <c r="B100" s="30" t="s">
        <v>901</v>
      </c>
      <c r="C100" s="30" t="s">
        <v>902</v>
      </c>
      <c r="D100" s="30" t="s">
        <v>82</v>
      </c>
      <c r="E100" s="30" t="s">
        <v>905</v>
      </c>
      <c r="F100" s="9" t="s">
        <v>770</v>
      </c>
      <c r="G100" s="9" t="s">
        <v>129</v>
      </c>
      <c r="H100" s="30" t="s">
        <v>129</v>
      </c>
      <c r="I100" s="9" t="s">
        <v>129</v>
      </c>
      <c r="J100" s="9" t="s">
        <v>129</v>
      </c>
      <c r="K100" s="9" t="s">
        <v>129</v>
      </c>
      <c r="L100" s="9" t="s">
        <v>129</v>
      </c>
    </row>
    <row r="101" customFormat="false" ht="36" hidden="false" customHeight="true" outlineLevel="0" collapsed="false">
      <c r="B101" s="27" t="s">
        <v>713</v>
      </c>
      <c r="C101" s="27" t="s">
        <v>908</v>
      </c>
      <c r="D101" s="27" t="s">
        <v>82</v>
      </c>
      <c r="E101" s="27" t="s">
        <v>905</v>
      </c>
      <c r="F101" s="7" t="s">
        <v>1276</v>
      </c>
      <c r="G101" s="7" t="s">
        <v>129</v>
      </c>
      <c r="H101" s="27" t="s">
        <v>129</v>
      </c>
      <c r="I101" s="7" t="s">
        <v>129</v>
      </c>
      <c r="J101" s="7" t="s">
        <v>1277</v>
      </c>
      <c r="K101" s="7" t="s">
        <v>129</v>
      </c>
      <c r="L101" s="7" t="s">
        <v>1183</v>
      </c>
    </row>
    <row r="102" customFormat="false" ht="21.75" hidden="false" customHeight="true" outlineLevel="0" collapsed="false">
      <c r="B102" s="30" t="s">
        <v>915</v>
      </c>
      <c r="C102" s="30" t="s">
        <v>916</v>
      </c>
      <c r="D102" s="30" t="s">
        <v>82</v>
      </c>
      <c r="E102" s="30" t="s">
        <v>206</v>
      </c>
      <c r="F102" s="9" t="s">
        <v>129</v>
      </c>
      <c r="G102" s="9" t="s">
        <v>129</v>
      </c>
      <c r="H102" s="30" t="s">
        <v>129</v>
      </c>
      <c r="I102" s="9" t="s">
        <v>129</v>
      </c>
      <c r="J102" s="9" t="s">
        <v>129</v>
      </c>
      <c r="K102" s="9" t="s">
        <v>129</v>
      </c>
      <c r="L102" s="9" t="s">
        <v>1262</v>
      </c>
    </row>
    <row r="103" customFormat="false" ht="36" hidden="false" customHeight="true" outlineLevel="0" collapsed="false">
      <c r="B103" s="27" t="s">
        <v>921</v>
      </c>
      <c r="C103" s="27" t="s">
        <v>922</v>
      </c>
      <c r="D103" s="27" t="s">
        <v>82</v>
      </c>
      <c r="E103" s="27" t="s">
        <v>925</v>
      </c>
      <c r="F103" s="7" t="s">
        <v>735</v>
      </c>
      <c r="G103" s="7" t="s">
        <v>129</v>
      </c>
      <c r="H103" s="27" t="s">
        <v>129</v>
      </c>
      <c r="I103" s="7" t="s">
        <v>129</v>
      </c>
      <c r="J103" s="7" t="s">
        <v>129</v>
      </c>
      <c r="K103" s="7" t="s">
        <v>129</v>
      </c>
      <c r="L103" s="7" t="s">
        <v>1199</v>
      </c>
    </row>
    <row r="104" customFormat="false" ht="51" hidden="false" customHeight="true" outlineLevel="0" collapsed="false">
      <c r="B104" s="30" t="s">
        <v>930</v>
      </c>
      <c r="C104" s="30" t="s">
        <v>931</v>
      </c>
      <c r="D104" s="30" t="s">
        <v>82</v>
      </c>
      <c r="E104" s="30" t="s">
        <v>934</v>
      </c>
      <c r="F104" s="9" t="s">
        <v>1278</v>
      </c>
      <c r="G104" s="9" t="s">
        <v>129</v>
      </c>
      <c r="H104" s="30" t="s">
        <v>129</v>
      </c>
      <c r="I104" s="9" t="s">
        <v>1267</v>
      </c>
      <c r="J104" s="9" t="s">
        <v>129</v>
      </c>
      <c r="K104" s="9" t="s">
        <v>129</v>
      </c>
      <c r="L104" s="9" t="s">
        <v>129</v>
      </c>
    </row>
    <row r="105" customFormat="false" ht="36" hidden="false" customHeight="true" outlineLevel="0" collapsed="false">
      <c r="B105" s="27" t="s">
        <v>354</v>
      </c>
      <c r="C105" s="27" t="s">
        <v>938</v>
      </c>
      <c r="D105" s="27" t="s">
        <v>82</v>
      </c>
      <c r="E105" s="27" t="s">
        <v>905</v>
      </c>
      <c r="F105" s="7" t="s">
        <v>770</v>
      </c>
      <c r="G105" s="7" t="s">
        <v>129</v>
      </c>
      <c r="H105" s="27" t="s">
        <v>129</v>
      </c>
      <c r="I105" s="7" t="s">
        <v>129</v>
      </c>
      <c r="J105" s="7" t="s">
        <v>129</v>
      </c>
      <c r="K105" s="7" t="s">
        <v>129</v>
      </c>
      <c r="L105" s="7" t="s">
        <v>129</v>
      </c>
    </row>
    <row r="106" customFormat="false" ht="36" hidden="false" customHeight="true" outlineLevel="0" collapsed="false">
      <c r="B106" s="30" t="s">
        <v>942</v>
      </c>
      <c r="C106" s="30" t="s">
        <v>943</v>
      </c>
      <c r="D106" s="30" t="s">
        <v>82</v>
      </c>
      <c r="E106" s="30" t="s">
        <v>905</v>
      </c>
      <c r="F106" s="9" t="s">
        <v>777</v>
      </c>
      <c r="G106" s="9" t="s">
        <v>129</v>
      </c>
      <c r="H106" s="30" t="s">
        <v>129</v>
      </c>
      <c r="I106" s="9" t="s">
        <v>129</v>
      </c>
      <c r="J106" s="9" t="s">
        <v>1197</v>
      </c>
      <c r="K106" s="9" t="s">
        <v>129</v>
      </c>
      <c r="L106" s="9" t="s">
        <v>129</v>
      </c>
    </row>
    <row r="107" customFormat="false" ht="36" hidden="false" customHeight="true" outlineLevel="0" collapsed="false">
      <c r="B107" s="27" t="s">
        <v>871</v>
      </c>
      <c r="C107" s="27" t="s">
        <v>948</v>
      </c>
      <c r="D107" s="27" t="s">
        <v>82</v>
      </c>
      <c r="E107" s="27" t="s">
        <v>905</v>
      </c>
      <c r="F107" s="7" t="s">
        <v>346</v>
      </c>
      <c r="G107" s="7" t="s">
        <v>129</v>
      </c>
      <c r="H107" s="27" t="s">
        <v>129</v>
      </c>
      <c r="I107" s="7" t="s">
        <v>129</v>
      </c>
      <c r="J107" s="7" t="s">
        <v>129</v>
      </c>
      <c r="K107" s="7" t="s">
        <v>129</v>
      </c>
      <c r="L107" s="7" t="s">
        <v>129</v>
      </c>
    </row>
  </sheetData>
  <autoFilter ref="B4:L107"/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40"/>
    <col collapsed="false" customWidth="true" hidden="false" outlineLevel="0" max="5" min="5" style="1" width="3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3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1" t="s">
        <v>1279</v>
      </c>
      <c r="C2" s="21"/>
      <c r="D2" s="21"/>
      <c r="E2" s="21"/>
      <c r="F2" s="21"/>
      <c r="G2" s="21"/>
      <c r="H2" s="21"/>
    </row>
    <row r="3" customFormat="false" ht="13.5" hidden="false" customHeight="true" outlineLevel="0" collapsed="false">
      <c r="B3" s="22" t="s">
        <v>1280</v>
      </c>
      <c r="C3" s="22"/>
      <c r="D3" s="22"/>
      <c r="E3" s="22"/>
      <c r="F3" s="22"/>
      <c r="G3" s="22"/>
      <c r="H3" s="22"/>
    </row>
    <row r="4" customFormat="false" ht="30" hidden="false" customHeight="true" outlineLevel="0" collapsed="false">
      <c r="B4" s="6" t="s">
        <v>73</v>
      </c>
      <c r="C4" s="6" t="s">
        <v>1281</v>
      </c>
      <c r="D4" s="6" t="s">
        <v>1282</v>
      </c>
      <c r="E4" s="6" t="s">
        <v>1283</v>
      </c>
      <c r="F4" s="6" t="s">
        <v>1284</v>
      </c>
      <c r="G4" s="6" t="s">
        <v>962</v>
      </c>
      <c r="H4" s="6" t="s">
        <v>960</v>
      </c>
    </row>
    <row r="5" customFormat="false" ht="21.75" hidden="false" customHeight="true" outlineLevel="0" collapsed="false">
      <c r="B5" s="7"/>
      <c r="C5" s="7"/>
      <c r="D5" s="7"/>
      <c r="E5" s="7"/>
      <c r="F5" s="7"/>
      <c r="G5" s="41"/>
      <c r="H5" s="7"/>
    </row>
    <row r="6" customFormat="false" ht="21.75" hidden="false" customHeight="true" outlineLevel="0" collapsed="false">
      <c r="B6" s="9"/>
      <c r="C6" s="9"/>
      <c r="D6" s="9"/>
      <c r="E6" s="9"/>
      <c r="F6" s="9"/>
      <c r="G6" s="42"/>
      <c r="H6" s="9"/>
    </row>
    <row r="7" customFormat="false" ht="21.75" hidden="false" customHeight="true" outlineLevel="0" collapsed="false">
      <c r="B7" s="7"/>
      <c r="C7" s="7"/>
      <c r="D7" s="7"/>
      <c r="E7" s="7"/>
      <c r="F7" s="7"/>
      <c r="G7" s="41"/>
      <c r="H7" s="7"/>
    </row>
    <row r="8" customFormat="false" ht="21.75" hidden="false" customHeight="true" outlineLevel="0" collapsed="false">
      <c r="B8" s="9"/>
      <c r="C8" s="9"/>
      <c r="D8" s="9"/>
      <c r="E8" s="9"/>
      <c r="F8" s="9"/>
      <c r="G8" s="42"/>
      <c r="H8" s="9"/>
    </row>
    <row r="9" customFormat="false" ht="21.75" hidden="false" customHeight="true" outlineLevel="0" collapsed="false">
      <c r="B9" s="7"/>
      <c r="C9" s="7"/>
      <c r="D9" s="7"/>
      <c r="E9" s="7"/>
      <c r="F9" s="7"/>
      <c r="G9" s="41"/>
      <c r="H9" s="7"/>
    </row>
    <row r="10" customFormat="false" ht="21.75" hidden="false" customHeight="true" outlineLevel="0" collapsed="false">
      <c r="B10" s="9"/>
      <c r="C10" s="9"/>
      <c r="D10" s="9"/>
      <c r="E10" s="9"/>
      <c r="F10" s="9"/>
      <c r="G10" s="42"/>
      <c r="H10" s="9"/>
    </row>
    <row r="11" customFormat="false" ht="21.75" hidden="false" customHeight="true" outlineLevel="0" collapsed="false">
      <c r="B11" s="7"/>
      <c r="C11" s="7"/>
      <c r="D11" s="7"/>
      <c r="E11" s="7"/>
      <c r="F11" s="7"/>
      <c r="G11" s="41"/>
      <c r="H11" s="7"/>
    </row>
    <row r="12" customFormat="false" ht="21.75" hidden="false" customHeight="true" outlineLevel="0" collapsed="false">
      <c r="B12" s="9"/>
      <c r="C12" s="9"/>
      <c r="D12" s="9"/>
      <c r="E12" s="9"/>
      <c r="F12" s="9"/>
      <c r="G12" s="42"/>
      <c r="H12" s="9"/>
    </row>
    <row r="13" customFormat="false" ht="21.75" hidden="false" customHeight="true" outlineLevel="0" collapsed="false">
      <c r="B13" s="7"/>
      <c r="C13" s="7"/>
      <c r="D13" s="7"/>
      <c r="E13" s="7"/>
      <c r="F13" s="7"/>
      <c r="G13" s="41"/>
      <c r="H13" s="7"/>
    </row>
    <row r="14" customFormat="false" ht="21.75" hidden="false" customHeight="true" outlineLevel="0" collapsed="false">
      <c r="B14" s="9"/>
      <c r="C14" s="9"/>
      <c r="D14" s="9"/>
      <c r="E14" s="9"/>
      <c r="F14" s="9"/>
      <c r="G14" s="42"/>
      <c r="H14" s="9"/>
    </row>
    <row r="15" customFormat="false" ht="21.75" hidden="false" customHeight="true" outlineLevel="0" collapsed="false">
      <c r="B15" s="7"/>
      <c r="C15" s="7"/>
      <c r="D15" s="7"/>
      <c r="E15" s="7"/>
      <c r="F15" s="7"/>
      <c r="G15" s="41"/>
      <c r="H15" s="7"/>
    </row>
    <row r="16" customFormat="false" ht="21.75" hidden="false" customHeight="true" outlineLevel="0" collapsed="false">
      <c r="B16" s="9"/>
      <c r="C16" s="9"/>
      <c r="D16" s="9"/>
      <c r="E16" s="9"/>
      <c r="F16" s="9"/>
      <c r="G16" s="42"/>
      <c r="H16" s="9"/>
    </row>
    <row r="17" customFormat="false" ht="21.75" hidden="false" customHeight="true" outlineLevel="0" collapsed="false">
      <c r="B17" s="7"/>
      <c r="C17" s="7"/>
      <c r="D17" s="7"/>
      <c r="E17" s="7"/>
      <c r="F17" s="7"/>
      <c r="G17" s="41"/>
      <c r="H17" s="7"/>
    </row>
    <row r="18" customFormat="false" ht="21.75" hidden="false" customHeight="true" outlineLevel="0" collapsed="false">
      <c r="B18" s="9"/>
      <c r="C18" s="9"/>
      <c r="D18" s="9"/>
      <c r="E18" s="9"/>
      <c r="F18" s="9"/>
      <c r="G18" s="42"/>
      <c r="H18" s="9"/>
    </row>
    <row r="19" customFormat="false" ht="21.75" hidden="false" customHeight="true" outlineLevel="0" collapsed="false">
      <c r="B19" s="7"/>
      <c r="C19" s="7"/>
      <c r="D19" s="7"/>
      <c r="E19" s="7"/>
      <c r="F19" s="7"/>
      <c r="G19" s="41"/>
      <c r="H19" s="7"/>
    </row>
    <row r="20" customFormat="false" ht="21.75" hidden="false" customHeight="true" outlineLevel="0" collapsed="false">
      <c r="B20" s="9"/>
      <c r="C20" s="9"/>
      <c r="D20" s="9"/>
      <c r="E20" s="9"/>
      <c r="F20" s="9"/>
      <c r="G20" s="42"/>
      <c r="H20" s="9"/>
    </row>
    <row r="21" customFormat="false" ht="21.75" hidden="false" customHeight="true" outlineLevel="0" collapsed="false">
      <c r="B21" s="7"/>
      <c r="C21" s="7"/>
      <c r="D21" s="7"/>
      <c r="E21" s="7"/>
      <c r="F21" s="7"/>
      <c r="G21" s="41"/>
      <c r="H21" s="7"/>
    </row>
    <row r="22" customFormat="false" ht="21.75" hidden="false" customHeight="true" outlineLevel="0" collapsed="false">
      <c r="B22" s="9"/>
      <c r="C22" s="9"/>
      <c r="D22" s="9"/>
      <c r="E22" s="9"/>
      <c r="F22" s="9"/>
      <c r="G22" s="42"/>
      <c r="H22" s="9"/>
    </row>
    <row r="23" customFormat="false" ht="21.75" hidden="false" customHeight="true" outlineLevel="0" collapsed="false">
      <c r="B23" s="7"/>
      <c r="C23" s="7"/>
      <c r="D23" s="7"/>
      <c r="E23" s="7"/>
      <c r="F23" s="7"/>
      <c r="G23" s="41"/>
      <c r="H23" s="7"/>
    </row>
    <row r="24" customFormat="false" ht="21.75" hidden="false" customHeight="true" outlineLevel="0" collapsed="false">
      <c r="B24" s="9"/>
      <c r="C24" s="9"/>
      <c r="D24" s="9"/>
      <c r="E24" s="9"/>
      <c r="F24" s="9"/>
      <c r="G24" s="42"/>
      <c r="H24" s="9"/>
    </row>
    <row r="25" customFormat="false" ht="21.75" hidden="false" customHeight="true" outlineLevel="0" collapsed="false">
      <c r="B25" s="7"/>
      <c r="C25" s="7"/>
      <c r="D25" s="7"/>
      <c r="E25" s="7"/>
      <c r="F25" s="7"/>
      <c r="G25" s="41"/>
      <c r="H25" s="7"/>
    </row>
    <row r="26" customFormat="false" ht="21.75" hidden="false" customHeight="true" outlineLevel="0" collapsed="false">
      <c r="B26" s="9"/>
      <c r="C26" s="9"/>
      <c r="D26" s="9"/>
      <c r="E26" s="9"/>
      <c r="F26" s="9"/>
      <c r="G26" s="42"/>
      <c r="H26" s="9"/>
    </row>
    <row r="27" customFormat="false" ht="21.75" hidden="false" customHeight="true" outlineLevel="0" collapsed="false">
      <c r="B27" s="7"/>
      <c r="C27" s="7"/>
      <c r="D27" s="7"/>
      <c r="E27" s="7"/>
      <c r="F27" s="7"/>
      <c r="G27" s="41"/>
      <c r="H27" s="7"/>
    </row>
    <row r="28" customFormat="false" ht="21.75" hidden="false" customHeight="true" outlineLevel="0" collapsed="false">
      <c r="B28" s="9"/>
      <c r="C28" s="9"/>
      <c r="D28" s="9"/>
      <c r="E28" s="9"/>
      <c r="F28" s="9"/>
      <c r="G28" s="42"/>
      <c r="H28" s="9"/>
    </row>
    <row r="29" customFormat="false" ht="21.75" hidden="false" customHeight="true" outlineLevel="0" collapsed="false">
      <c r="B29" s="7"/>
      <c r="C29" s="7"/>
      <c r="D29" s="7"/>
      <c r="E29" s="7"/>
      <c r="F29" s="7"/>
      <c r="G29" s="41"/>
      <c r="H29" s="7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B5:B29" type="list">
      <formula1>"Admin Portal,User Web Portal,User App,Checker App,System-Initiated,Cross-Cutting,Other"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4" min="3" style="1" width="14"/>
    <col collapsed="false" customWidth="true" hidden="false" outlineLevel="0" max="5" min="5" style="1" width="12"/>
  </cols>
  <sheetData>
    <row r="1" customFormat="false" ht="15" hidden="false" customHeight="true" outlineLevel="0" collapsed="false"/>
    <row r="2" customFormat="false" ht="27.75" hidden="false" customHeight="true" outlineLevel="0" collapsed="false">
      <c r="B2" s="43" t="s">
        <v>1285</v>
      </c>
      <c r="C2" s="43"/>
      <c r="D2" s="43"/>
      <c r="E2" s="43"/>
    </row>
    <row r="4" customFormat="false" ht="30" hidden="false" customHeight="true" outlineLevel="0" collapsed="false">
      <c r="B4" s="6" t="s">
        <v>1286</v>
      </c>
      <c r="C4" s="6" t="s">
        <v>1287</v>
      </c>
      <c r="D4" s="6" t="s">
        <v>1288</v>
      </c>
      <c r="E4" s="6" t="s">
        <v>48</v>
      </c>
    </row>
    <row r="5" customFormat="false" ht="15" hidden="false" customHeight="false" outlineLevel="0" collapsed="false">
      <c r="B5" s="11" t="s">
        <v>1289</v>
      </c>
      <c r="C5" s="44" t="n">
        <v>103</v>
      </c>
      <c r="D5" s="44" t="n">
        <f aca="false">COUNTA('Feature Matrix'!D5:D107)</f>
        <v>103</v>
      </c>
      <c r="E5" s="44" t="str">
        <f aca="false">IF(C5=D5,"PASS","FAIL")</f>
        <v>PASS</v>
      </c>
    </row>
    <row r="6" customFormat="false" ht="15" hidden="false" customHeight="false" outlineLevel="0" collapsed="false">
      <c r="B6" s="13" t="s">
        <v>1290</v>
      </c>
      <c r="C6" s="45" t="n">
        <v>75</v>
      </c>
      <c r="D6" s="45" t="n">
        <f aca="false">COUNTA('Open Queries'!B5:B79)</f>
        <v>75</v>
      </c>
      <c r="E6" s="45" t="str">
        <f aca="false">IF(C6=D6,"PASS","FAIL")</f>
        <v>PASS</v>
      </c>
    </row>
    <row r="7" customFormat="false" ht="15" hidden="false" customHeight="false" outlineLevel="0" collapsed="false">
      <c r="B7" s="11" t="s">
        <v>1291</v>
      </c>
      <c r="C7" s="44" t="n">
        <v>103</v>
      </c>
      <c r="D7" s="44" t="n">
        <f aca="false">COUNTA('Feature Matrix'!Q5:Q107)</f>
        <v>103</v>
      </c>
      <c r="E7" s="44" t="str">
        <f aca="false">IF(C7=D7,"PASS","FAIL")</f>
        <v>PASS</v>
      </c>
    </row>
    <row r="8" customFormat="false" ht="15" hidden="false" customHeight="false" outlineLevel="0" collapsed="false">
      <c r="B8" s="13" t="s">
        <v>1292</v>
      </c>
      <c r="C8" s="45" t="n">
        <v>75</v>
      </c>
      <c r="D8" s="45" t="n">
        <f aca="false">COUNTA('Open Queries'!H5:H79)</f>
        <v>75</v>
      </c>
      <c r="E8" s="45" t="str">
        <f aca="false">IF(C8=D8,"PASS","FAIL")</f>
        <v>PASS</v>
      </c>
    </row>
    <row r="9" customFormat="false" ht="15" hidden="false" customHeight="false" outlineLevel="0" collapsed="false">
      <c r="B9" s="11" t="s">
        <v>1293</v>
      </c>
      <c r="C9" s="44" t="n">
        <v>103</v>
      </c>
      <c r="D9" s="44" t="n">
        <f aca="false">Summary!C12</f>
        <v>103</v>
      </c>
      <c r="E9" s="44" t="str">
        <f aca="false">IF(C9=D9,"PASS","FAIL")</f>
        <v>PASS</v>
      </c>
    </row>
    <row r="10" customFormat="false" ht="15" hidden="false" customHeight="false" outlineLevel="0" collapsed="false">
      <c r="B10" s="13" t="s">
        <v>1294</v>
      </c>
      <c r="C10" s="45" t="n">
        <v>75</v>
      </c>
      <c r="D10" s="45" t="n">
        <f aca="false">Summary!C21</f>
        <v>75</v>
      </c>
      <c r="E10" s="45" t="str">
        <f aca="false">IF(C10=D10,"PASS","FAIL")</f>
        <v>PASS</v>
      </c>
    </row>
  </sheetData>
  <mergeCells count="1">
    <mergeCell ref="B2:E2"/>
  </mergeCells>
  <conditionalFormatting sqref="E5:E10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2026-10-23T11:48:41Z</dcterms:created>
  <dc:creator>Z.ai</dc:creator>
  <dc:description/>
  <dc:language>en-GB</dc:language>
  <cp:lastModifiedBy/>
  <dcterms:modified xsi:type="dcterms:W3CDTF">2026-10-23T11:48:42Z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